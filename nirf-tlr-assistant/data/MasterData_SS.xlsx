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Data(SS)" sheetId="1" r:id="rId4"/>
    <sheet state="visible" name="MasterData(FSR)" sheetId="2" r:id="rId5"/>
    <sheet state="visible" name="MasterData(FQE)" sheetId="3" r:id="rId6"/>
    <sheet state="visible" name="MasterData(FRU)" sheetId="4" r:id="rId7"/>
  </sheets>
  <definedNames>
    <definedName hidden="1" localSheetId="0" name="_xlnm._FilterDatabase">'MasterData(SS)'!$A$1:$CW$101</definedName>
  </definedNames>
  <calcPr/>
  <extLst>
    <ext uri="GoogleSheetsCustomDataVersion2">
      <go:sheetsCustomData xmlns:go="http://customooxmlschemas.google.com/" r:id="rId8" roundtripDataChecksum="Z26qeRk1ZUyaa1o3tpM/E1pp5URlRLhq7pheuOBcSdE="/>
    </ext>
  </extLst>
</workbook>
</file>

<file path=xl/sharedStrings.xml><?xml version="1.0" encoding="utf-8"?>
<sst xmlns="http://schemas.openxmlformats.org/spreadsheetml/2006/main" count="1021" uniqueCount="274">
  <si>
    <t>Rank</t>
  </si>
  <si>
    <t>University_Name</t>
  </si>
  <si>
    <t>State</t>
  </si>
  <si>
    <t>University_Type</t>
  </si>
  <si>
    <t>Year</t>
  </si>
  <si>
    <t>SS_Score</t>
  </si>
  <si>
    <t>TOTAL FACULTY</t>
  </si>
  <si>
    <t>UG4_2023-24</t>
  </si>
  <si>
    <t>UG4_2022-23</t>
  </si>
  <si>
    <t>UG4_2021-22</t>
  </si>
  <si>
    <t>UG4_2020-21</t>
  </si>
  <si>
    <t>UG4_2019-20</t>
  </si>
  <si>
    <t>UG4_2018-19</t>
  </si>
  <si>
    <t>UG5_2023-24</t>
  </si>
  <si>
    <t>UG5_2022-23</t>
  </si>
  <si>
    <t>UG5_2021-22</t>
  </si>
  <si>
    <t>UG5_2020-21</t>
  </si>
  <si>
    <t>UG5_2019-20</t>
  </si>
  <si>
    <t>UG5_2018-19</t>
  </si>
  <si>
    <t>PG2_2023-24</t>
  </si>
  <si>
    <t>PG2_2022-23</t>
  </si>
  <si>
    <t>PG2_2021-22</t>
  </si>
  <si>
    <t>PG2_2020-21</t>
  </si>
  <si>
    <t>PG2_2019-20</t>
  </si>
  <si>
    <t>PG2_2018-19</t>
  </si>
  <si>
    <t>PG3_2023-24</t>
  </si>
  <si>
    <t>PG3_2022-23</t>
  </si>
  <si>
    <t>PG3_2021-22</t>
  </si>
  <si>
    <t>PG3_2020-21</t>
  </si>
  <si>
    <t>PG3_2019-20</t>
  </si>
  <si>
    <t>PG3_2018-19</t>
  </si>
  <si>
    <t>PG_INTEGRATED_2023-24</t>
  </si>
  <si>
    <t>PG_INTEGRATED_2022-23</t>
  </si>
  <si>
    <t>PG_INTEGRATED_2021-22</t>
  </si>
  <si>
    <t>PG_INTEGRATED_2020-21</t>
  </si>
  <si>
    <t>PG_INTEGRATED_2019-20</t>
  </si>
  <si>
    <t>PG_INTEGRATED_2018-19</t>
  </si>
  <si>
    <t>TOTAL_SANCTIONED (Incl UG + PG)</t>
  </si>
  <si>
    <t>NE_UG4_Male</t>
  </si>
  <si>
    <t>NE_UG4_Female</t>
  </si>
  <si>
    <t>NE_UG4_Total</t>
  </si>
  <si>
    <t>NE_UG4_WithinState</t>
  </si>
  <si>
    <t>NE_UG4_OutsideState</t>
  </si>
  <si>
    <t>NE_UG4_OutsideCountry</t>
  </si>
  <si>
    <t>NE_UG4_EconomicallyBackward</t>
  </si>
  <si>
    <t>NE_UG4_SociallyChallenged</t>
  </si>
  <si>
    <t>NE_UG4_FeeReimb_State</t>
  </si>
  <si>
    <t>NE_UG4_FeeReimb_Institute</t>
  </si>
  <si>
    <t>NE_UG4_FeeReimb_Private</t>
  </si>
  <si>
    <t>NE_UG4_NoFullReimb</t>
  </si>
  <si>
    <t>NE_UG5_Male</t>
  </si>
  <si>
    <t>NE_UG5_Female</t>
  </si>
  <si>
    <t>NE_UG5_Total</t>
  </si>
  <si>
    <t>NE_UG5_WithinState</t>
  </si>
  <si>
    <t>NE_UG5_OutsideState</t>
  </si>
  <si>
    <t>NE_UG5_OutsideCountry</t>
  </si>
  <si>
    <t>NE_UG5_EconomicallyBackward</t>
  </si>
  <si>
    <t>NE_UG5_SociallyChallenged</t>
  </si>
  <si>
    <t>NE_UG5_FeeReimb_State</t>
  </si>
  <si>
    <t>NE_UG5_FeeReimb_Institute</t>
  </si>
  <si>
    <t>NE_UG5_FeeReimb_Private</t>
  </si>
  <si>
    <t>NE_UG5_NoFullReimb</t>
  </si>
  <si>
    <t>NE_PG2_Male</t>
  </si>
  <si>
    <t>NE_PG2_Female</t>
  </si>
  <si>
    <t>NE_PG2_Total</t>
  </si>
  <si>
    <t>NE_PG2_WithinState</t>
  </si>
  <si>
    <t>NE_PG2_OutsideState</t>
  </si>
  <si>
    <t>NE_PG2_OutsideCountry</t>
  </si>
  <si>
    <t>NE_PG2_EconomicallyBackward</t>
  </si>
  <si>
    <t>NE_PG2_SociallyChallenged</t>
  </si>
  <si>
    <t>NE_PG2_FeeReimb_State</t>
  </si>
  <si>
    <t>NE_PG2_FeeReimb_Institute</t>
  </si>
  <si>
    <t>NE_PG2_FeeReimb_Private</t>
  </si>
  <si>
    <t>NE_PG2_NoFullReimb</t>
  </si>
  <si>
    <t>NE_PG3_Male</t>
  </si>
  <si>
    <t>NE_PG3_Female</t>
  </si>
  <si>
    <t>NE_PG3_Total</t>
  </si>
  <si>
    <t>NE_PG3_WithinState</t>
  </si>
  <si>
    <t>NE_PG3_OutsideState</t>
  </si>
  <si>
    <t>NE_PG3_OutsideCountry</t>
  </si>
  <si>
    <t>NE_PG3_EconomicallyBackward</t>
  </si>
  <si>
    <t>NE_PG3_SociallyChallenged</t>
  </si>
  <si>
    <t>NE_PG3_FeeReimb_State</t>
  </si>
  <si>
    <t>NE_PG3_FeeReimb_Institute</t>
  </si>
  <si>
    <t>NE_PG3_FeeReimb_Private</t>
  </si>
  <si>
    <t>NE_PG3_NoFullReimb</t>
  </si>
  <si>
    <t>NE_PG_INTEGRATED_Male</t>
  </si>
  <si>
    <t>NE_PG_INTEGRATED_Female</t>
  </si>
  <si>
    <t>NE_PG_INTEGRATED_Total</t>
  </si>
  <si>
    <t>NE_PG_INTEGRATED_WithinState</t>
  </si>
  <si>
    <t>NE_PG_INTEGRATED_OutsideState</t>
  </si>
  <si>
    <t>NE_PG_INTEGRATED_OutsideCountry</t>
  </si>
  <si>
    <t>NE_PG_INTEGRATED_EconomicallyBackward</t>
  </si>
  <si>
    <t>NE_PG_INTEGRATED_SociallyChallenged</t>
  </si>
  <si>
    <t>NE_PG_INTEGRATED_FeeReimb_State</t>
  </si>
  <si>
    <t>NE_PG_INTEGRATED_FeeReimb_Institute</t>
  </si>
  <si>
    <t>NE_PG_INTEGRATED_FeeReimb_Private</t>
  </si>
  <si>
    <t>NE_PG_INTEGRATED_NoFullReimb</t>
  </si>
  <si>
    <t>TOTAL_ENROLLED</t>
  </si>
  <si>
    <t>PhD_Grad_FT_2023-24</t>
  </si>
  <si>
    <t>PhD_Grad_PT_2023-24</t>
  </si>
  <si>
    <t>TOTAL_PHD_PURSUING</t>
  </si>
  <si>
    <t>Indian Institute of Technology</t>
  </si>
  <si>
    <t>Chennai</t>
  </si>
  <si>
    <t>Govt</t>
  </si>
  <si>
    <t>New Delhi</t>
  </si>
  <si>
    <t>Mumbai</t>
  </si>
  <si>
    <t>Kanpur</t>
  </si>
  <si>
    <t>Kharagpur</t>
  </si>
  <si>
    <t>Roorkee</t>
  </si>
  <si>
    <t>Hyderabad</t>
  </si>
  <si>
    <t>Guwahati</t>
  </si>
  <si>
    <t>National Institute of Technology</t>
  </si>
  <si>
    <t>Tiruchirapalli</t>
  </si>
  <si>
    <t>Indian Institute of Technology (Banaras Hindu University)</t>
  </si>
  <si>
    <t>Varanasi</t>
  </si>
  <si>
    <t>Birla Institute of Technology &amp; Science</t>
  </si>
  <si>
    <t>Pilani</t>
  </si>
  <si>
    <t>Deemed</t>
  </si>
  <si>
    <t>Indore</t>
  </si>
  <si>
    <t>Rourkela</t>
  </si>
  <si>
    <t>S.R.M Institute of Science &amp; Technology</t>
  </si>
  <si>
    <t>Indian Institute of Technology (Indian School of Mines)</t>
  </si>
  <si>
    <t>Dhanbad</t>
  </si>
  <si>
    <t>Vellore Institute of Technology</t>
  </si>
  <si>
    <t>Vellore</t>
  </si>
  <si>
    <t>National Institute of Technology Karnataka</t>
  </si>
  <si>
    <t>Surathkal</t>
  </si>
  <si>
    <t>Jadavpur University</t>
  </si>
  <si>
    <t>Kolkata</t>
  </si>
  <si>
    <t>Patna</t>
  </si>
  <si>
    <t>Anna University</t>
  </si>
  <si>
    <t>National Institute of Technology Calicut</t>
  </si>
  <si>
    <t>Kozhikode</t>
  </si>
  <si>
    <t>Siksha `O` Anusandhan</t>
  </si>
  <si>
    <t>Bhubaneswar</t>
  </si>
  <si>
    <t>Amrita Vishwa Vidyapeetham</t>
  </si>
  <si>
    <t>Coimbatore</t>
  </si>
  <si>
    <t>Jamia Milia Islamia</t>
  </si>
  <si>
    <t>Central</t>
  </si>
  <si>
    <t>Gandhinagar</t>
  </si>
  <si>
    <t>Mandi</t>
  </si>
  <si>
    <t>Jodhpur</t>
  </si>
  <si>
    <t>Warangal</t>
  </si>
  <si>
    <t>Thapar University</t>
  </si>
  <si>
    <t>Patiala</t>
  </si>
  <si>
    <t>Private</t>
  </si>
  <si>
    <t>Delhi Technological University</t>
  </si>
  <si>
    <t>Chandigarh University</t>
  </si>
  <si>
    <t>Punjab</t>
  </si>
  <si>
    <t>Indian Institute of Technology Ropar</t>
  </si>
  <si>
    <t>Rupnagar</t>
  </si>
  <si>
    <t>Kalasingham Academy of Research and Education</t>
  </si>
  <si>
    <t>Krishnan Koil</t>
  </si>
  <si>
    <t>Aligarh Muslim University</t>
  </si>
  <si>
    <t>Aligarh</t>
  </si>
  <si>
    <t>Koneru Lakshmaiah Education Foundation University (K L College of Engineering)</t>
  </si>
  <si>
    <t>Vaddeswaram</t>
  </si>
  <si>
    <t>Kalinga Institute of Industrial Technology</t>
  </si>
  <si>
    <t>Amity University</t>
  </si>
  <si>
    <t>Gautam Budh Nagar</t>
  </si>
  <si>
    <t>International Institute of Information Technology Hyderabad</t>
  </si>
  <si>
    <t>Autonomous</t>
  </si>
  <si>
    <t>Indian Institute of Technology Bhubaneswar</t>
  </si>
  <si>
    <t>Bhubaneshwar</t>
  </si>
  <si>
    <t>Shanmugha Arts Science Technology &amp; Research Academy</t>
  </si>
  <si>
    <t>Thanjavur</t>
  </si>
  <si>
    <t>Institute of Chemical Technology</t>
  </si>
  <si>
    <t>Malaviya National Institute of Technology</t>
  </si>
  <si>
    <t>Jaipur</t>
  </si>
  <si>
    <t xml:space="preserve">UPES </t>
  </si>
  <si>
    <t>Dehradun</t>
  </si>
  <si>
    <t>Visvesvaraya National Institute of Technology, Nagpur</t>
  </si>
  <si>
    <t>Nagpur</t>
  </si>
  <si>
    <t>Saveetha Institute of Medical and Technical Sciences</t>
  </si>
  <si>
    <t>Symbiosis International</t>
  </si>
  <si>
    <t>Pune</t>
  </si>
  <si>
    <t>Sri Sivasubramaniya Nadar College of Engineering</t>
  </si>
  <si>
    <t>Kalavakkam</t>
  </si>
  <si>
    <t>Lovely Professional University</t>
  </si>
  <si>
    <t>Phagwara</t>
  </si>
  <si>
    <t>National Institute of Technology Durgapur</t>
  </si>
  <si>
    <t>Durgapur</t>
  </si>
  <si>
    <t>National Institute of Technology Silchar</t>
  </si>
  <si>
    <t>Silchar</t>
  </si>
  <si>
    <t>Birla Institute of Technology</t>
  </si>
  <si>
    <t>Ranchi</t>
  </si>
  <si>
    <t>Graphic Era University</t>
  </si>
  <si>
    <t>National Institute of Technology Patna</t>
  </si>
  <si>
    <t>Indian Institute of Engineering Science and Technology, Shibpur</t>
  </si>
  <si>
    <t>Howrah</t>
  </si>
  <si>
    <t>Dr. B R Ambedkar National Institute of Technology, Jalandhar</t>
  </si>
  <si>
    <t>Jalandhar</t>
  </si>
  <si>
    <t>Indian Institute of Technology Jammu</t>
  </si>
  <si>
    <t>Jammu</t>
  </si>
  <si>
    <t>Indian Institute of Technology, Tirupati</t>
  </si>
  <si>
    <t>Tirupati</t>
  </si>
  <si>
    <t>Manipal University</t>
  </si>
  <si>
    <t>Manipal Institute of Technology</t>
  </si>
  <si>
    <t>Manipal</t>
  </si>
  <si>
    <t>Madan Mohan Malaviya University of Technology</t>
  </si>
  <si>
    <t>Gorakhpur</t>
  </si>
  <si>
    <t>Indian Institute of Space Science and Technology</t>
  </si>
  <si>
    <t>Thiruvananthpuram</t>
  </si>
  <si>
    <t>Motilal Nehru National Institute of Technology</t>
  </si>
  <si>
    <t>Prayagraj</t>
  </si>
  <si>
    <t>Indraprastha Institute of Information Technology</t>
  </si>
  <si>
    <t>Indian Institute of Technology Palakkad</t>
  </si>
  <si>
    <t>Palakkad</t>
  </si>
  <si>
    <t>National Institute of Technology Delhi</t>
  </si>
  <si>
    <t>Delhi</t>
  </si>
  <si>
    <t>Sardar Vallabhbhai National Institute of Technology</t>
  </si>
  <si>
    <t>Surat</t>
  </si>
  <si>
    <t>PSG College of Technology</t>
  </si>
  <si>
    <t>Sathyabama Institute of Science and Technology</t>
  </si>
  <si>
    <t>International Institute of Information Technology Bangalore</t>
  </si>
  <si>
    <t>Bengaluru</t>
  </si>
  <si>
    <t>Netaji Subhas University of Technology (NSUT)</t>
  </si>
  <si>
    <t>Banasthali Vidyapith</t>
  </si>
  <si>
    <t>Banasthali</t>
  </si>
  <si>
    <t>Indian Institute of Technology Bhilai</t>
  </si>
  <si>
    <t>Durg</t>
  </si>
  <si>
    <t>National Institute of Technology Srinagar</t>
  </si>
  <si>
    <t>Srinagar</t>
  </si>
  <si>
    <t>University of Hyderabad</t>
  </si>
  <si>
    <t>M. S. Ramaiah Institute of Technology</t>
  </si>
  <si>
    <t>Christ University</t>
  </si>
  <si>
    <t>Indian Institute of Technology Dharwad</t>
  </si>
  <si>
    <t>Dharwad</t>
  </si>
  <si>
    <t>Rajiv Gandhi Institute of Petroleum Technology</t>
  </si>
  <si>
    <t>Amethi</t>
  </si>
  <si>
    <t>Sant Longowal Institute of Engineering &amp; Technology</t>
  </si>
  <si>
    <t>Longowal</t>
  </si>
  <si>
    <t>Vignan's Foundation for Science, Technology and Research</t>
  </si>
  <si>
    <t>Guntur</t>
  </si>
  <si>
    <t>Maulana Azad National Institute of Technology</t>
  </si>
  <si>
    <t>Bhopal</t>
  </si>
  <si>
    <t>National Institute of Technology, Jamshedpur</t>
  </si>
  <si>
    <t>Jamshedpur</t>
  </si>
  <si>
    <t>National Institute of Technology Meghalaya</t>
  </si>
  <si>
    <t>Shillong</t>
  </si>
  <si>
    <t>Jain university,Bangalore</t>
  </si>
  <si>
    <t>National Institute of Technology Kurukshetra</t>
  </si>
  <si>
    <t>Kurukshatra</t>
  </si>
  <si>
    <t>National Institute of Technology, Raipur</t>
  </si>
  <si>
    <t>Raipur</t>
  </si>
  <si>
    <t>Vel Tech Rangarajan Dr. Sagunthala R &amp; D Institute of Science and Technology</t>
  </si>
  <si>
    <t>AU College of Engineering (A)</t>
  </si>
  <si>
    <t>Visakhapatnam</t>
  </si>
  <si>
    <t>Chitkara University</t>
  </si>
  <si>
    <t>Rajpura</t>
  </si>
  <si>
    <t>COEP Technological University</t>
  </si>
  <si>
    <t>SR University</t>
  </si>
  <si>
    <t>Defence Institute of Advanced Technology</t>
  </si>
  <si>
    <t>Panjab University</t>
  </si>
  <si>
    <t>Chandigarh</t>
  </si>
  <si>
    <t>Jawaharlal Nehru Technological University</t>
  </si>
  <si>
    <t>C.V. Raman Global University, Odisha</t>
  </si>
  <si>
    <t>Atal Bihari Vajpayee Indian Institute of Information Technology and Management</t>
  </si>
  <si>
    <t>Gwalior</t>
  </si>
  <si>
    <t>National Institute of Technology Hamirpur</t>
  </si>
  <si>
    <t>Hamirpur</t>
  </si>
  <si>
    <t>Pandit Deendayal Energy University</t>
  </si>
  <si>
    <t>GandhiNagar</t>
  </si>
  <si>
    <t>National Institute of Technology Puducherry</t>
  </si>
  <si>
    <t>Karaikal</t>
  </si>
  <si>
    <t>Sri Krishna College of Engineering and Technology</t>
  </si>
  <si>
    <t>FSR_Score</t>
  </si>
  <si>
    <t>Full_Time_Reg_Faculty (F)</t>
  </si>
  <si>
    <t>Total_Sanctioned (NT)</t>
  </si>
  <si>
    <t>Total_PhD_Enrolled_Students (NP)</t>
  </si>
  <si>
    <t>N=NT + NP</t>
  </si>
  <si>
    <t>FQE_Score</t>
  </si>
  <si>
    <t>FRU_Score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</si>
</sst>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 "/>
  </numFmts>
  <fonts count="9">
    <font>
      <sz val="11.0"/>
      <color theme="1"/>
      <name val="Calibri"/>
      <scheme val="minor"/>
    </font>
    <font>
      <b/>
      <sz val="12.0"/>
      <color rgb="FF000000"/>
      <name val="Calibri"/>
    </font>
    <font>
      <color theme="1"/>
      <name val="Calibri"/>
      <scheme val="minor"/>
    </font>
    <font>
      <sz val="12.0"/>
      <color rgb="FF000000"/>
      <name val="Calibri"/>
    </font>
    <font>
      <sz val="11.0"/>
      <color rgb="FF000000"/>
      <name val="Arial"/>
    </font>
    <font>
      <sz val="11.0"/>
      <color rgb="FF000000"/>
      <name val="OpenSansRegular"/>
    </font>
    <font>
      <sz val="7.0"/>
      <color rgb="FF000000"/>
      <name val="Arial"/>
    </font>
    <font>
      <sz val="10.0"/>
      <color rgb="FF000000"/>
      <name val="Calibri"/>
    </font>
    <font>
      <b/>
      <sz val="7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top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left" vertical="top"/>
    </xf>
    <xf borderId="0" fillId="0" fontId="7" numFmtId="0" xfId="0" applyAlignment="1" applyFont="1">
      <alignment horizontal="left" vertical="top"/>
    </xf>
    <xf borderId="0" fillId="0" fontId="8" numFmtId="0" xfId="0" applyAlignment="1" applyFont="1">
      <alignment horizontal="left" vertical="top"/>
    </xf>
    <xf borderId="0" fillId="0" fontId="6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31.0"/>
    <col customWidth="1" min="3" max="3" width="15.71"/>
    <col customWidth="1" min="7" max="9" width="17.57"/>
    <col customWidth="1" min="10" max="10" width="18.29"/>
    <col customWidth="1" min="11" max="11" width="19.14"/>
    <col customWidth="1" min="12" max="12" width="17.43"/>
    <col customWidth="1" min="13" max="13" width="17.14"/>
    <col customWidth="1" min="14" max="14" width="17.71"/>
    <col customWidth="1" min="15" max="15" width="18.29"/>
    <col customWidth="1" min="16" max="16" width="17.57"/>
    <col customWidth="1" min="17" max="17" width="18.71"/>
    <col customWidth="1" min="18" max="18" width="17.43"/>
    <col customWidth="1" min="19" max="19" width="18.43"/>
    <col customWidth="1" min="20" max="20" width="17.86"/>
    <col customWidth="1" min="21" max="21" width="19.14"/>
    <col customWidth="1" min="22" max="22" width="18.71"/>
    <col customWidth="1" min="23" max="23" width="18.57"/>
    <col customWidth="1" min="24" max="24" width="19.57"/>
    <col customWidth="1" min="25" max="25" width="18.57"/>
    <col customWidth="1" min="26" max="26" width="20.0"/>
    <col customWidth="1" min="27" max="28" width="19.71"/>
    <col customWidth="1" min="29" max="29" width="19.0"/>
    <col customWidth="1" min="30" max="30" width="20.86"/>
    <col customWidth="1" min="31" max="31" width="19.57"/>
    <col customWidth="1" min="32" max="32" width="20.71"/>
    <col customWidth="1" min="33" max="33" width="20.29"/>
    <col customWidth="1" min="34" max="34" width="21.14"/>
    <col customWidth="1" min="35" max="35" width="20.57"/>
    <col customWidth="1" min="36" max="36" width="20.14"/>
    <col customWidth="1" min="37" max="37" width="20.57"/>
    <col customWidth="1" min="38" max="38" width="24.86"/>
    <col customWidth="1" min="39" max="39" width="18.57"/>
    <col customWidth="1" min="40" max="40" width="21.86"/>
    <col customWidth="1" min="41" max="41" width="19.0"/>
    <col customWidth="1" min="42" max="42" width="19.86"/>
    <col customWidth="1" min="43" max="43" width="20.29"/>
    <col customWidth="1" min="44" max="44" width="21.0"/>
    <col customWidth="1" min="45" max="45" width="26.43"/>
    <col customWidth="1" min="46" max="46" width="20.57"/>
    <col customWidth="1" min="47" max="47" width="16.29"/>
    <col customWidth="1" min="48" max="49" width="17.43"/>
    <col customWidth="1" min="50" max="50" width="16.43"/>
    <col customWidth="1" min="51" max="51" width="20.14"/>
    <col customWidth="1" min="52" max="52" width="21.29"/>
    <col customWidth="1" min="53" max="53" width="18.29"/>
    <col customWidth="1" min="54" max="54" width="19.86"/>
    <col customWidth="1" min="55" max="55" width="20.57"/>
    <col customWidth="1" min="56" max="56" width="20.29"/>
    <col customWidth="1" min="57" max="57" width="26.0"/>
    <col customWidth="1" min="58" max="58" width="20.57"/>
    <col customWidth="1" min="59" max="59" width="16.43"/>
    <col customWidth="1" min="60" max="60" width="17.43"/>
    <col customWidth="1" min="61" max="61" width="17.0"/>
    <col customWidth="1" min="62" max="62" width="15.86"/>
    <col customWidth="1" min="63" max="63" width="18.57"/>
    <col customWidth="1" min="64" max="64" width="21.43"/>
    <col customWidth="1" min="65" max="65" width="18.86"/>
    <col customWidth="1" min="66" max="66" width="19.86"/>
    <col customWidth="1" min="67" max="68" width="21.0"/>
    <col customWidth="1" min="69" max="69" width="26.43"/>
    <col customWidth="1" min="70" max="70" width="19.86"/>
    <col customWidth="1" min="71" max="73" width="16.71"/>
    <col customWidth="1" min="74" max="74" width="15.71"/>
    <col customWidth="1" min="75" max="75" width="18.71"/>
    <col customWidth="1" min="76" max="76" width="20.14"/>
    <col customWidth="1" min="77" max="77" width="18.14"/>
    <col customWidth="1" min="78" max="78" width="17.0"/>
    <col customWidth="1" min="79" max="79" width="17.71"/>
    <col customWidth="1" min="80" max="80" width="17.29"/>
    <col customWidth="1" min="81" max="81" width="22.14"/>
    <col customWidth="1" min="82" max="82" width="17.0"/>
    <col customWidth="1" min="83" max="83" width="13.29"/>
    <col customWidth="1" min="84" max="84" width="13.57"/>
    <col customWidth="1" min="85" max="85" width="13.71"/>
    <col customWidth="1" min="86" max="86" width="16.14"/>
    <col customWidth="1" min="87" max="87" width="17.14"/>
    <col customWidth="1" min="88" max="88" width="17.29"/>
    <col customWidth="1" min="89" max="89" width="17.14"/>
    <col customWidth="1" min="90" max="90" width="17.57"/>
    <col customWidth="1" min="91" max="91" width="17.43"/>
    <col customWidth="1" min="92" max="92" width="16.86"/>
    <col customWidth="1" min="93" max="93" width="17.14"/>
    <col customWidth="1" min="94" max="95" width="17.57"/>
    <col customWidth="1" min="96" max="97" width="17.14"/>
    <col customWidth="1" min="98" max="98" width="17.29"/>
    <col customWidth="1" min="99" max="99" width="22.57"/>
  </cols>
  <sheetData>
    <row r="1" ht="5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2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2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2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3" t="s">
        <v>101</v>
      </c>
    </row>
    <row r="2">
      <c r="A2" s="4">
        <v>1.0</v>
      </c>
      <c r="B2" s="4" t="s">
        <v>102</v>
      </c>
      <c r="C2" s="4" t="s">
        <v>103</v>
      </c>
      <c r="D2" s="4" t="s">
        <v>104</v>
      </c>
      <c r="E2" s="4">
        <v>2025.0</v>
      </c>
      <c r="F2" s="4">
        <v>18.5</v>
      </c>
      <c r="G2" s="4">
        <v>686.0</v>
      </c>
      <c r="H2" s="4">
        <v>961.0</v>
      </c>
      <c r="I2" s="4">
        <v>877.0</v>
      </c>
      <c r="J2" s="4">
        <v>877.0</v>
      </c>
      <c r="K2" s="4">
        <v>877.0</v>
      </c>
      <c r="L2" s="4">
        <v>0.0</v>
      </c>
      <c r="M2" s="4">
        <v>0.0</v>
      </c>
      <c r="N2" s="4">
        <v>93.0</v>
      </c>
      <c r="O2" s="4">
        <v>177.0</v>
      </c>
      <c r="P2" s="4">
        <v>177.0</v>
      </c>
      <c r="Q2" s="4">
        <v>177.0</v>
      </c>
      <c r="R2" s="4">
        <v>157.0</v>
      </c>
      <c r="S2" s="4">
        <v>0.0</v>
      </c>
      <c r="T2" s="4">
        <v>511.0</v>
      </c>
      <c r="U2" s="4">
        <v>670.0</v>
      </c>
      <c r="V2" s="4">
        <v>0.0</v>
      </c>
      <c r="W2" s="4">
        <v>0.0</v>
      </c>
      <c r="X2" s="4">
        <v>0.0</v>
      </c>
      <c r="Y2" s="4">
        <v>0.0</v>
      </c>
      <c r="Z2" s="4">
        <v>245.0</v>
      </c>
      <c r="AA2" s="4">
        <v>245.0</v>
      </c>
      <c r="AB2" s="4">
        <v>245.0</v>
      </c>
      <c r="AC2" s="4">
        <v>0.0</v>
      </c>
      <c r="AD2" s="4">
        <v>0.0</v>
      </c>
      <c r="AE2" s="4">
        <v>0.0</v>
      </c>
      <c r="AF2" s="4">
        <v>0.0</v>
      </c>
      <c r="AG2" s="4">
        <v>0.0</v>
      </c>
      <c r="AH2" s="4">
        <v>0.0</v>
      </c>
      <c r="AI2" s="4">
        <v>0.0</v>
      </c>
      <c r="AJ2" s="4">
        <v>0.0</v>
      </c>
      <c r="AK2" s="4">
        <v>0.0</v>
      </c>
      <c r="AL2" s="4">
        <f t="shared" ref="AL2:AL101" si="1">SUM(H2:AK2)</f>
        <v>6289</v>
      </c>
      <c r="AM2" s="4">
        <v>2824.0</v>
      </c>
      <c r="AN2" s="4">
        <v>765.0</v>
      </c>
      <c r="AO2" s="4">
        <v>3589.0</v>
      </c>
      <c r="AP2" s="4">
        <v>667.0</v>
      </c>
      <c r="AQ2" s="4">
        <v>2920.0</v>
      </c>
      <c r="AR2" s="4">
        <v>2.0</v>
      </c>
      <c r="AS2" s="4">
        <v>432.0</v>
      </c>
      <c r="AT2" s="4">
        <v>1876.0</v>
      </c>
      <c r="AU2" s="4">
        <v>208.0</v>
      </c>
      <c r="AV2" s="4">
        <v>1102.0</v>
      </c>
      <c r="AW2" s="4">
        <v>536.0</v>
      </c>
      <c r="AX2" s="4">
        <v>462.0</v>
      </c>
      <c r="AY2" s="4">
        <v>961.0</v>
      </c>
      <c r="AZ2" s="4">
        <v>225.0</v>
      </c>
      <c r="BA2" s="4">
        <v>1186.0</v>
      </c>
      <c r="BB2" s="4">
        <v>309.0</v>
      </c>
      <c r="BC2" s="4">
        <v>877.0</v>
      </c>
      <c r="BD2" s="4">
        <v>0.0</v>
      </c>
      <c r="BE2" s="4">
        <v>157.0</v>
      </c>
      <c r="BF2" s="4">
        <v>503.0</v>
      </c>
      <c r="BG2" s="4">
        <v>38.0</v>
      </c>
      <c r="BH2" s="4">
        <v>416.0</v>
      </c>
      <c r="BI2" s="4">
        <v>110.0</v>
      </c>
      <c r="BJ2" s="4">
        <v>96.0</v>
      </c>
      <c r="BK2" s="4">
        <v>995.0</v>
      </c>
      <c r="BL2" s="4">
        <v>176.0</v>
      </c>
      <c r="BM2" s="4">
        <v>1171.0</v>
      </c>
      <c r="BN2" s="4">
        <v>166.0</v>
      </c>
      <c r="BO2" s="4">
        <v>979.0</v>
      </c>
      <c r="BP2" s="4">
        <v>26.0</v>
      </c>
      <c r="BQ2" s="4">
        <v>348.0</v>
      </c>
      <c r="BR2" s="4">
        <v>548.0</v>
      </c>
      <c r="BS2" s="4">
        <v>93.0</v>
      </c>
      <c r="BT2" s="4">
        <v>715.0</v>
      </c>
      <c r="BU2" s="4">
        <v>88.0</v>
      </c>
      <c r="BV2" s="4">
        <v>0.0</v>
      </c>
      <c r="BW2" s="4">
        <v>423.0</v>
      </c>
      <c r="BX2" s="4">
        <v>84.0</v>
      </c>
      <c r="BY2" s="4">
        <v>507.0</v>
      </c>
      <c r="BZ2" s="4">
        <v>136.0</v>
      </c>
      <c r="CA2" s="4">
        <v>364.0</v>
      </c>
      <c r="CB2" s="4">
        <v>7.0</v>
      </c>
      <c r="CC2" s="4">
        <v>38.0</v>
      </c>
      <c r="CD2" s="4">
        <v>176.0</v>
      </c>
      <c r="CE2" s="4">
        <v>0.0</v>
      </c>
      <c r="CF2" s="4">
        <v>164.0</v>
      </c>
      <c r="CG2" s="4">
        <v>50.0</v>
      </c>
      <c r="CH2" s="4">
        <v>0.0</v>
      </c>
      <c r="CI2" s="4">
        <v>0.0</v>
      </c>
      <c r="CJ2" s="4">
        <v>0.0</v>
      </c>
      <c r="CK2" s="4">
        <v>0.0</v>
      </c>
      <c r="CL2" s="4">
        <v>0.0</v>
      </c>
      <c r="CM2" s="4">
        <v>0.0</v>
      </c>
      <c r="CN2" s="4">
        <v>0.0</v>
      </c>
      <c r="CO2" s="4">
        <v>0.0</v>
      </c>
      <c r="CP2" s="4">
        <v>0.0</v>
      </c>
      <c r="CQ2" s="4">
        <v>0.0</v>
      </c>
      <c r="CR2" s="4">
        <v>0.0</v>
      </c>
      <c r="CS2" s="4">
        <v>0.0</v>
      </c>
      <c r="CT2" s="4">
        <v>0.0</v>
      </c>
      <c r="CU2" s="4">
        <f t="shared" ref="CU2:CU101" si="2">SUM(AO2,BA2,BM2,BY2,CK2)</f>
        <v>6453</v>
      </c>
      <c r="CV2" s="4">
        <v>1798.0</v>
      </c>
      <c r="CW2" s="4">
        <v>200.0</v>
      </c>
      <c r="CX2" s="4">
        <f t="shared" ref="CX2:CX101" si="3">SUM(CV2:CW2)</f>
        <v>1998</v>
      </c>
    </row>
    <row r="3">
      <c r="A3" s="4">
        <v>2.0</v>
      </c>
      <c r="B3" s="4" t="s">
        <v>102</v>
      </c>
      <c r="C3" s="4" t="s">
        <v>105</v>
      </c>
      <c r="D3" s="4" t="s">
        <v>104</v>
      </c>
      <c r="E3" s="4">
        <v>2025.0</v>
      </c>
      <c r="F3" s="4">
        <v>16.45</v>
      </c>
      <c r="G3" s="4">
        <v>677.0</v>
      </c>
      <c r="H3" s="4">
        <v>1113.0</v>
      </c>
      <c r="I3" s="4">
        <v>1093.0</v>
      </c>
      <c r="J3" s="4">
        <v>1093.0</v>
      </c>
      <c r="K3" s="4">
        <v>1071.0</v>
      </c>
      <c r="L3" s="4">
        <v>0.0</v>
      </c>
      <c r="M3" s="4">
        <v>0.0</v>
      </c>
      <c r="N3" s="4">
        <v>116.0</v>
      </c>
      <c r="O3" s="4">
        <v>116.0</v>
      </c>
      <c r="P3" s="4">
        <v>116.0</v>
      </c>
      <c r="Q3" s="4">
        <v>126.0</v>
      </c>
      <c r="R3" s="4">
        <v>123.0</v>
      </c>
      <c r="S3" s="4">
        <v>0.0</v>
      </c>
      <c r="T3" s="4">
        <v>1510.0</v>
      </c>
      <c r="U3" s="4">
        <v>1654.0</v>
      </c>
      <c r="V3" s="4">
        <v>0.0</v>
      </c>
      <c r="W3" s="4">
        <v>0.0</v>
      </c>
      <c r="X3" s="4">
        <v>0.0</v>
      </c>
      <c r="Y3" s="4">
        <v>0.0</v>
      </c>
      <c r="Z3" s="4">
        <v>0.0</v>
      </c>
      <c r="AA3" s="4">
        <v>0.0</v>
      </c>
      <c r="AB3" s="4">
        <v>0.0</v>
      </c>
      <c r="AC3" s="4">
        <v>0.0</v>
      </c>
      <c r="AD3" s="4">
        <v>0.0</v>
      </c>
      <c r="AE3" s="4">
        <v>0.0</v>
      </c>
      <c r="AF3" s="4">
        <v>0.0</v>
      </c>
      <c r="AG3" s="4">
        <v>0.0</v>
      </c>
      <c r="AH3" s="4">
        <v>0.0</v>
      </c>
      <c r="AI3" s="4">
        <v>0.0</v>
      </c>
      <c r="AJ3" s="4">
        <v>0.0</v>
      </c>
      <c r="AK3" s="4">
        <v>0.0</v>
      </c>
      <c r="AL3" s="4">
        <f t="shared" si="1"/>
        <v>8131</v>
      </c>
      <c r="AM3" s="4">
        <v>3439.0</v>
      </c>
      <c r="AN3" s="4">
        <v>898.0</v>
      </c>
      <c r="AO3" s="4">
        <v>4337.0</v>
      </c>
      <c r="AP3" s="4">
        <v>429.0</v>
      </c>
      <c r="AQ3" s="4">
        <v>3907.0</v>
      </c>
      <c r="AR3" s="4">
        <v>1.0</v>
      </c>
      <c r="AS3" s="4">
        <v>445.0</v>
      </c>
      <c r="AT3" s="4">
        <v>2175.0</v>
      </c>
      <c r="AU3" s="4">
        <v>0.0</v>
      </c>
      <c r="AV3" s="4">
        <v>1973.0</v>
      </c>
      <c r="AW3" s="4">
        <v>38.0</v>
      </c>
      <c r="AX3" s="4">
        <v>609.0</v>
      </c>
      <c r="AY3" s="4">
        <v>429.0</v>
      </c>
      <c r="AZ3" s="4">
        <v>114.0</v>
      </c>
      <c r="BA3" s="4">
        <v>543.0</v>
      </c>
      <c r="BB3" s="4">
        <v>58.0</v>
      </c>
      <c r="BC3" s="4">
        <v>485.0</v>
      </c>
      <c r="BD3" s="4">
        <v>0.0</v>
      </c>
      <c r="BE3" s="4">
        <v>48.0</v>
      </c>
      <c r="BF3" s="4">
        <v>302.0</v>
      </c>
      <c r="BG3" s="4">
        <v>0.0</v>
      </c>
      <c r="BH3" s="4">
        <v>241.0</v>
      </c>
      <c r="BI3" s="4">
        <v>0.0</v>
      </c>
      <c r="BJ3" s="4">
        <v>109.0</v>
      </c>
      <c r="BK3" s="4">
        <v>1620.0</v>
      </c>
      <c r="BL3" s="4">
        <v>397.0</v>
      </c>
      <c r="BM3" s="4">
        <v>2017.0</v>
      </c>
      <c r="BN3" s="4">
        <v>106.0</v>
      </c>
      <c r="BO3" s="4">
        <v>1853.0</v>
      </c>
      <c r="BP3" s="4">
        <v>58.0</v>
      </c>
      <c r="BQ3" s="4">
        <v>161.0</v>
      </c>
      <c r="BR3" s="4">
        <v>864.0</v>
      </c>
      <c r="BS3" s="4">
        <v>0.0</v>
      </c>
      <c r="BT3" s="4">
        <v>511.0</v>
      </c>
      <c r="BU3" s="4">
        <v>0.0</v>
      </c>
      <c r="BV3" s="4">
        <v>514.0</v>
      </c>
      <c r="BW3" s="4">
        <v>0.0</v>
      </c>
      <c r="BX3" s="4">
        <v>0.0</v>
      </c>
      <c r="BY3" s="4">
        <v>0.0</v>
      </c>
      <c r="BZ3" s="4">
        <v>0.0</v>
      </c>
      <c r="CA3" s="4">
        <v>0.0</v>
      </c>
      <c r="CB3" s="4">
        <v>0.0</v>
      </c>
      <c r="CC3" s="4">
        <v>0.0</v>
      </c>
      <c r="CD3" s="4">
        <v>0.0</v>
      </c>
      <c r="CE3" s="4">
        <v>0.0</v>
      </c>
      <c r="CF3" s="4">
        <v>0.0</v>
      </c>
      <c r="CG3" s="4">
        <v>0.0</v>
      </c>
      <c r="CH3" s="4">
        <v>0.0</v>
      </c>
      <c r="CI3" s="4">
        <v>0.0</v>
      </c>
      <c r="CJ3" s="4">
        <v>0.0</v>
      </c>
      <c r="CK3" s="4">
        <v>0.0</v>
      </c>
      <c r="CL3" s="4">
        <v>0.0</v>
      </c>
      <c r="CM3" s="4">
        <v>0.0</v>
      </c>
      <c r="CN3" s="4">
        <v>0.0</v>
      </c>
      <c r="CO3" s="4">
        <v>0.0</v>
      </c>
      <c r="CP3" s="4">
        <v>0.0</v>
      </c>
      <c r="CQ3" s="4">
        <v>0.0</v>
      </c>
      <c r="CR3" s="4">
        <v>0.0</v>
      </c>
      <c r="CS3" s="4">
        <v>0.0</v>
      </c>
      <c r="CT3" s="4">
        <v>0.0</v>
      </c>
      <c r="CU3" s="4">
        <f t="shared" si="2"/>
        <v>6897</v>
      </c>
      <c r="CV3" s="4">
        <v>2866.0</v>
      </c>
      <c r="CW3" s="4">
        <v>546.0</v>
      </c>
      <c r="CX3" s="4">
        <f t="shared" si="3"/>
        <v>3412</v>
      </c>
    </row>
    <row r="4">
      <c r="A4" s="4">
        <v>3.0</v>
      </c>
      <c r="B4" s="4" t="s">
        <v>102</v>
      </c>
      <c r="C4" s="4" t="s">
        <v>106</v>
      </c>
      <c r="D4" s="4" t="s">
        <v>104</v>
      </c>
      <c r="E4" s="4">
        <v>2025.0</v>
      </c>
      <c r="F4" s="4">
        <v>18.5</v>
      </c>
      <c r="G4" s="4">
        <v>792.0</v>
      </c>
      <c r="H4" s="4">
        <v>1161.0</v>
      </c>
      <c r="I4" s="4">
        <v>1059.0</v>
      </c>
      <c r="J4" s="4">
        <v>1039.0</v>
      </c>
      <c r="K4" s="4">
        <v>1030.0</v>
      </c>
      <c r="L4" s="4">
        <v>0.0</v>
      </c>
      <c r="M4" s="4">
        <v>0.0</v>
      </c>
      <c r="N4" s="4">
        <v>80.0</v>
      </c>
      <c r="O4" s="4">
        <v>182.0</v>
      </c>
      <c r="P4" s="4">
        <v>202.0</v>
      </c>
      <c r="Q4" s="4">
        <v>211.0</v>
      </c>
      <c r="R4" s="4">
        <v>178.0</v>
      </c>
      <c r="S4" s="4">
        <v>0.0</v>
      </c>
      <c r="T4" s="4">
        <v>1406.0</v>
      </c>
      <c r="U4" s="4">
        <v>1391.0</v>
      </c>
      <c r="V4" s="4">
        <v>0.0</v>
      </c>
      <c r="W4" s="4">
        <v>0.0</v>
      </c>
      <c r="X4" s="4">
        <v>0.0</v>
      </c>
      <c r="Y4" s="4">
        <v>0.0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0.0</v>
      </c>
      <c r="AG4" s="4">
        <v>0.0</v>
      </c>
      <c r="AH4" s="4">
        <v>0.0</v>
      </c>
      <c r="AI4" s="4">
        <v>0.0</v>
      </c>
      <c r="AJ4" s="4">
        <v>0.0</v>
      </c>
      <c r="AK4" s="4">
        <v>0.0</v>
      </c>
      <c r="AL4" s="4">
        <f t="shared" si="1"/>
        <v>7939</v>
      </c>
      <c r="AM4" s="4">
        <v>4170.0</v>
      </c>
      <c r="AN4" s="4">
        <v>994.0</v>
      </c>
      <c r="AO4" s="4">
        <v>5164.0</v>
      </c>
      <c r="AP4" s="4">
        <v>1443.0</v>
      </c>
      <c r="AQ4" s="4">
        <v>3684.0</v>
      </c>
      <c r="AR4" s="4">
        <v>37.0</v>
      </c>
      <c r="AS4" s="4">
        <v>947.0</v>
      </c>
      <c r="AT4" s="4">
        <v>2668.0</v>
      </c>
      <c r="AU4" s="4">
        <v>1227.0</v>
      </c>
      <c r="AV4" s="4">
        <v>539.0</v>
      </c>
      <c r="AW4" s="4">
        <v>419.0</v>
      </c>
      <c r="AX4" s="4">
        <v>1430.0</v>
      </c>
      <c r="AY4" s="4">
        <v>901.0</v>
      </c>
      <c r="AZ4" s="4">
        <v>208.0</v>
      </c>
      <c r="BA4" s="4">
        <v>1109.0</v>
      </c>
      <c r="BB4" s="4">
        <v>400.0</v>
      </c>
      <c r="BC4" s="4">
        <v>707.0</v>
      </c>
      <c r="BD4" s="4">
        <v>2.0</v>
      </c>
      <c r="BE4" s="4">
        <v>174.0</v>
      </c>
      <c r="BF4" s="4">
        <v>564.0</v>
      </c>
      <c r="BG4" s="4">
        <v>253.0</v>
      </c>
      <c r="BH4" s="4">
        <v>346.0</v>
      </c>
      <c r="BI4" s="4">
        <v>61.0</v>
      </c>
      <c r="BJ4" s="4">
        <v>78.0</v>
      </c>
      <c r="BK4" s="4">
        <v>2144.0</v>
      </c>
      <c r="BL4" s="4">
        <v>409.0</v>
      </c>
      <c r="BM4" s="4">
        <v>2553.0</v>
      </c>
      <c r="BN4" s="4">
        <v>596.0</v>
      </c>
      <c r="BO4" s="4">
        <v>1957.0</v>
      </c>
      <c r="BP4" s="4">
        <v>0.0</v>
      </c>
      <c r="BQ4" s="4">
        <v>275.0</v>
      </c>
      <c r="BR4" s="4">
        <v>1247.0</v>
      </c>
      <c r="BS4" s="4">
        <v>469.0</v>
      </c>
      <c r="BT4" s="4">
        <v>648.0</v>
      </c>
      <c r="BU4" s="4">
        <v>0.0</v>
      </c>
      <c r="BV4" s="4">
        <v>405.0</v>
      </c>
      <c r="BW4" s="4">
        <v>0.0</v>
      </c>
      <c r="BX4" s="4">
        <v>0.0</v>
      </c>
      <c r="BY4" s="4">
        <v>0.0</v>
      </c>
      <c r="BZ4" s="4">
        <v>0.0</v>
      </c>
      <c r="CA4" s="4">
        <v>0.0</v>
      </c>
      <c r="CB4" s="4">
        <v>0.0</v>
      </c>
      <c r="CC4" s="4">
        <v>0.0</v>
      </c>
      <c r="CD4" s="4">
        <v>0.0</v>
      </c>
      <c r="CE4" s="4">
        <v>0.0</v>
      </c>
      <c r="CF4" s="4">
        <v>0.0</v>
      </c>
      <c r="CG4" s="4">
        <v>0.0</v>
      </c>
      <c r="CH4" s="4">
        <v>0.0</v>
      </c>
      <c r="CI4" s="4">
        <v>0.0</v>
      </c>
      <c r="CJ4" s="4">
        <v>0.0</v>
      </c>
      <c r="CK4" s="4">
        <v>0.0</v>
      </c>
      <c r="CL4" s="4">
        <v>0.0</v>
      </c>
      <c r="CM4" s="4">
        <v>0.0</v>
      </c>
      <c r="CN4" s="4">
        <v>0.0</v>
      </c>
      <c r="CO4" s="4">
        <v>0.0</v>
      </c>
      <c r="CP4" s="4">
        <v>0.0</v>
      </c>
      <c r="CQ4" s="4">
        <v>0.0</v>
      </c>
      <c r="CR4" s="4">
        <v>0.0</v>
      </c>
      <c r="CS4" s="4">
        <v>0.0</v>
      </c>
      <c r="CT4" s="4">
        <v>0.0</v>
      </c>
      <c r="CU4" s="4">
        <f t="shared" si="2"/>
        <v>8826</v>
      </c>
      <c r="CV4" s="4">
        <v>3523.0</v>
      </c>
      <c r="CW4" s="4">
        <v>466.0</v>
      </c>
      <c r="CX4" s="4">
        <f t="shared" si="3"/>
        <v>3989</v>
      </c>
    </row>
    <row r="5">
      <c r="A5" s="4">
        <v>4.0</v>
      </c>
      <c r="B5" s="4" t="s">
        <v>102</v>
      </c>
      <c r="C5" s="4" t="s">
        <v>107</v>
      </c>
      <c r="D5" s="4" t="s">
        <v>104</v>
      </c>
      <c r="E5" s="4">
        <v>2025.0</v>
      </c>
      <c r="F5" s="4">
        <v>18.18</v>
      </c>
      <c r="G5" s="4">
        <v>579.0</v>
      </c>
      <c r="H5" s="4">
        <v>1210.0</v>
      </c>
      <c r="I5" s="4">
        <v>1210.0</v>
      </c>
      <c r="J5" s="4">
        <v>1210.0</v>
      </c>
      <c r="K5" s="4">
        <v>927.0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1041.0</v>
      </c>
      <c r="U5" s="4">
        <v>991.0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0.0</v>
      </c>
      <c r="AB5" s="4">
        <v>0.0</v>
      </c>
      <c r="AC5" s="4">
        <v>0.0</v>
      </c>
      <c r="AD5" s="4">
        <v>0.0</v>
      </c>
      <c r="AE5" s="4">
        <v>0.0</v>
      </c>
      <c r="AF5" s="4">
        <v>0.0</v>
      </c>
      <c r="AG5" s="4">
        <v>0.0</v>
      </c>
      <c r="AH5" s="4">
        <v>0.0</v>
      </c>
      <c r="AI5" s="4">
        <v>0.0</v>
      </c>
      <c r="AJ5" s="4">
        <v>0.0</v>
      </c>
      <c r="AK5" s="4">
        <v>0.0</v>
      </c>
      <c r="AL5" s="4">
        <f t="shared" si="1"/>
        <v>6589</v>
      </c>
      <c r="AM5" s="4">
        <v>3760.0</v>
      </c>
      <c r="AN5" s="4">
        <v>956.0</v>
      </c>
      <c r="AO5" s="4">
        <v>4716.0</v>
      </c>
      <c r="AP5" s="4">
        <v>1041.0</v>
      </c>
      <c r="AQ5" s="4">
        <v>3675.0</v>
      </c>
      <c r="AR5" s="4">
        <v>0.0</v>
      </c>
      <c r="AS5" s="4">
        <v>290.0</v>
      </c>
      <c r="AT5" s="4">
        <v>2351.0</v>
      </c>
      <c r="AU5" s="4">
        <v>721.0</v>
      </c>
      <c r="AV5" s="4">
        <v>1764.0</v>
      </c>
      <c r="AW5" s="4">
        <v>0.0</v>
      </c>
      <c r="AX5" s="4">
        <v>156.0</v>
      </c>
      <c r="AY5" s="4">
        <v>0.0</v>
      </c>
      <c r="AZ5" s="4">
        <v>0.0</v>
      </c>
      <c r="BA5" s="4">
        <v>0.0</v>
      </c>
      <c r="BB5" s="4">
        <v>0.0</v>
      </c>
      <c r="BC5" s="4">
        <v>0.0</v>
      </c>
      <c r="BD5" s="4">
        <v>0.0</v>
      </c>
      <c r="BE5" s="4">
        <v>0.0</v>
      </c>
      <c r="BF5" s="4">
        <v>0.0</v>
      </c>
      <c r="BG5" s="4">
        <v>0.0</v>
      </c>
      <c r="BH5" s="4">
        <v>0.0</v>
      </c>
      <c r="BI5" s="4">
        <v>0.0</v>
      </c>
      <c r="BJ5" s="4">
        <v>0.0</v>
      </c>
      <c r="BK5" s="4">
        <v>1420.0</v>
      </c>
      <c r="BL5" s="4">
        <v>296.0</v>
      </c>
      <c r="BM5" s="4">
        <v>1716.0</v>
      </c>
      <c r="BN5" s="4">
        <v>688.0</v>
      </c>
      <c r="BO5" s="4">
        <v>1012.0</v>
      </c>
      <c r="BP5" s="4">
        <v>16.0</v>
      </c>
      <c r="BQ5" s="4">
        <v>133.0</v>
      </c>
      <c r="BR5" s="4">
        <v>815.0</v>
      </c>
      <c r="BS5" s="4">
        <v>114.0</v>
      </c>
      <c r="BT5" s="4">
        <v>739.0</v>
      </c>
      <c r="BU5" s="4">
        <v>0.0</v>
      </c>
      <c r="BV5" s="4">
        <v>95.0</v>
      </c>
      <c r="BW5" s="4">
        <v>0.0</v>
      </c>
      <c r="BX5" s="4">
        <v>0.0</v>
      </c>
      <c r="BY5" s="4">
        <v>0.0</v>
      </c>
      <c r="BZ5" s="4">
        <v>0.0</v>
      </c>
      <c r="CA5" s="4">
        <v>0.0</v>
      </c>
      <c r="CB5" s="4">
        <v>0.0</v>
      </c>
      <c r="CC5" s="4">
        <v>0.0</v>
      </c>
      <c r="CD5" s="4">
        <v>0.0</v>
      </c>
      <c r="CE5" s="4">
        <v>0.0</v>
      </c>
      <c r="CF5" s="4">
        <v>0.0</v>
      </c>
      <c r="CG5" s="4">
        <v>0.0</v>
      </c>
      <c r="CH5" s="4">
        <v>0.0</v>
      </c>
      <c r="CI5" s="4">
        <v>0.0</v>
      </c>
      <c r="CJ5" s="4">
        <v>0.0</v>
      </c>
      <c r="CK5" s="4">
        <v>0.0</v>
      </c>
      <c r="CL5" s="4">
        <v>0.0</v>
      </c>
      <c r="CM5" s="4">
        <v>0.0</v>
      </c>
      <c r="CN5" s="4">
        <v>0.0</v>
      </c>
      <c r="CO5" s="4">
        <v>0.0</v>
      </c>
      <c r="CP5" s="4">
        <v>0.0</v>
      </c>
      <c r="CQ5" s="4">
        <v>0.0</v>
      </c>
      <c r="CR5" s="4">
        <v>0.0</v>
      </c>
      <c r="CS5" s="4">
        <v>0.0</v>
      </c>
      <c r="CT5" s="4">
        <v>0.0</v>
      </c>
      <c r="CU5" s="4">
        <f t="shared" si="2"/>
        <v>6432</v>
      </c>
      <c r="CV5" s="4">
        <v>2068.0</v>
      </c>
      <c r="CW5" s="4">
        <v>43.0</v>
      </c>
      <c r="CX5" s="4">
        <f t="shared" si="3"/>
        <v>2111</v>
      </c>
    </row>
    <row r="6">
      <c r="A6" s="4">
        <v>5.0</v>
      </c>
      <c r="B6" s="4" t="s">
        <v>102</v>
      </c>
      <c r="C6" s="4" t="s">
        <v>108</v>
      </c>
      <c r="D6" s="4" t="s">
        <v>104</v>
      </c>
      <c r="E6" s="4">
        <v>2025.0</v>
      </c>
      <c r="F6" s="4">
        <v>18.23</v>
      </c>
      <c r="G6" s="4">
        <v>868.0</v>
      </c>
      <c r="H6" s="4">
        <v>941.0</v>
      </c>
      <c r="I6" s="4">
        <v>943.0</v>
      </c>
      <c r="J6" s="4">
        <v>943.0</v>
      </c>
      <c r="K6" s="4">
        <v>942.0</v>
      </c>
      <c r="L6" s="4">
        <v>0.0</v>
      </c>
      <c r="M6" s="4">
        <v>0.0</v>
      </c>
      <c r="N6" s="4">
        <v>609.0</v>
      </c>
      <c r="O6" s="4">
        <v>569.0</v>
      </c>
      <c r="P6" s="4">
        <v>569.0</v>
      </c>
      <c r="Q6" s="4">
        <v>589.0</v>
      </c>
      <c r="R6" s="4">
        <v>492.0</v>
      </c>
      <c r="S6" s="4">
        <v>0.0</v>
      </c>
      <c r="T6" s="4">
        <v>1471.0</v>
      </c>
      <c r="U6" s="4">
        <v>1455.0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  <c r="AD6" s="4">
        <v>0.0</v>
      </c>
      <c r="AE6" s="4">
        <v>0.0</v>
      </c>
      <c r="AF6" s="4">
        <v>0.0</v>
      </c>
      <c r="AG6" s="4">
        <v>0.0</v>
      </c>
      <c r="AH6" s="4">
        <v>0.0</v>
      </c>
      <c r="AI6" s="4">
        <v>0.0</v>
      </c>
      <c r="AJ6" s="4">
        <v>0.0</v>
      </c>
      <c r="AK6" s="4">
        <v>0.0</v>
      </c>
      <c r="AL6" s="4">
        <f t="shared" si="1"/>
        <v>9523</v>
      </c>
      <c r="AM6" s="4">
        <v>2706.0</v>
      </c>
      <c r="AN6" s="4">
        <v>597.0</v>
      </c>
      <c r="AO6" s="4">
        <v>3303.0</v>
      </c>
      <c r="AP6" s="4">
        <v>469.0</v>
      </c>
      <c r="AQ6" s="4">
        <v>22820.0</v>
      </c>
      <c r="AR6" s="4">
        <v>14.0</v>
      </c>
      <c r="AS6" s="4">
        <v>331.0</v>
      </c>
      <c r="AT6" s="4">
        <v>1677.0</v>
      </c>
      <c r="AU6" s="4">
        <v>0.0</v>
      </c>
      <c r="AV6" s="4">
        <v>1237.0</v>
      </c>
      <c r="AW6" s="4">
        <v>0.0</v>
      </c>
      <c r="AX6" s="4">
        <v>771.0</v>
      </c>
      <c r="AY6" s="4">
        <v>2942.0</v>
      </c>
      <c r="AZ6" s="4">
        <v>598.0</v>
      </c>
      <c r="BA6" s="4">
        <v>3540.0</v>
      </c>
      <c r="BB6" s="4">
        <v>453.0</v>
      </c>
      <c r="BC6" s="4">
        <v>3080.0</v>
      </c>
      <c r="BD6" s="4">
        <v>7.0</v>
      </c>
      <c r="BE6" s="4">
        <v>293.0</v>
      </c>
      <c r="BF6" s="4">
        <v>1804.0</v>
      </c>
      <c r="BG6" s="4">
        <v>0.0</v>
      </c>
      <c r="BH6" s="4">
        <v>2097.0</v>
      </c>
      <c r="BI6" s="4">
        <v>0.0</v>
      </c>
      <c r="BJ6" s="4">
        <v>0.0</v>
      </c>
      <c r="BK6" s="4">
        <v>2078.0</v>
      </c>
      <c r="BL6" s="4">
        <v>413.0</v>
      </c>
      <c r="BM6" s="4">
        <v>2491.0</v>
      </c>
      <c r="BN6" s="4">
        <v>415.0</v>
      </c>
      <c r="BO6" s="4">
        <v>2052.0</v>
      </c>
      <c r="BP6" s="4">
        <v>24.0</v>
      </c>
      <c r="BQ6" s="4">
        <v>270.0</v>
      </c>
      <c r="BR6" s="4">
        <v>1393.0</v>
      </c>
      <c r="BS6" s="4">
        <v>0.0</v>
      </c>
      <c r="BT6" s="4">
        <v>1663.0</v>
      </c>
      <c r="BU6" s="4">
        <v>0.0</v>
      </c>
      <c r="BV6" s="4">
        <v>0.0</v>
      </c>
      <c r="BW6" s="4">
        <v>0.0</v>
      </c>
      <c r="BX6" s="4">
        <v>0.0</v>
      </c>
      <c r="BY6" s="4">
        <v>0.0</v>
      </c>
      <c r="BZ6" s="4">
        <v>0.0</v>
      </c>
      <c r="CA6" s="4">
        <v>0.0</v>
      </c>
      <c r="CB6" s="4">
        <v>0.0</v>
      </c>
      <c r="CC6" s="4">
        <v>0.0</v>
      </c>
      <c r="CD6" s="4">
        <v>0.0</v>
      </c>
      <c r="CE6" s="4">
        <v>0.0</v>
      </c>
      <c r="CF6" s="4">
        <v>0.0</v>
      </c>
      <c r="CG6" s="4">
        <v>0.0</v>
      </c>
      <c r="CH6" s="4">
        <v>0.0</v>
      </c>
      <c r="CI6" s="4">
        <v>0.0</v>
      </c>
      <c r="CJ6" s="4">
        <v>0.0</v>
      </c>
      <c r="CK6" s="4">
        <v>0.0</v>
      </c>
      <c r="CL6" s="4">
        <v>0.0</v>
      </c>
      <c r="CM6" s="4">
        <v>0.0</v>
      </c>
      <c r="CN6" s="4">
        <v>0.0</v>
      </c>
      <c r="CO6" s="4">
        <v>0.0</v>
      </c>
      <c r="CP6" s="4">
        <v>0.0</v>
      </c>
      <c r="CQ6" s="4">
        <v>0.0</v>
      </c>
      <c r="CR6" s="4">
        <v>0.0</v>
      </c>
      <c r="CS6" s="4">
        <v>0.0</v>
      </c>
      <c r="CT6" s="4">
        <v>0.0</v>
      </c>
      <c r="CU6" s="4">
        <f t="shared" si="2"/>
        <v>9334</v>
      </c>
      <c r="CV6" s="4">
        <v>3409.0</v>
      </c>
      <c r="CW6" s="4">
        <v>0.0</v>
      </c>
      <c r="CX6" s="4">
        <f t="shared" si="3"/>
        <v>3409</v>
      </c>
    </row>
    <row r="7">
      <c r="A7" s="4">
        <v>6.0</v>
      </c>
      <c r="B7" s="4" t="s">
        <v>102</v>
      </c>
      <c r="C7" s="4" t="s">
        <v>109</v>
      </c>
      <c r="D7" s="4" t="s">
        <v>104</v>
      </c>
      <c r="E7" s="4">
        <v>2025.0</v>
      </c>
      <c r="F7" s="4">
        <v>17.75</v>
      </c>
      <c r="G7" s="4">
        <v>601.0</v>
      </c>
      <c r="H7" s="4">
        <v>1100.0</v>
      </c>
      <c r="I7" s="4">
        <v>1100.0</v>
      </c>
      <c r="J7" s="4">
        <v>1100.0</v>
      </c>
      <c r="K7" s="4">
        <v>1143.0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961.0</v>
      </c>
      <c r="U7" s="4">
        <v>883.0</v>
      </c>
      <c r="V7" s="4">
        <v>0.0</v>
      </c>
      <c r="W7" s="4">
        <v>0.0</v>
      </c>
      <c r="X7" s="4">
        <v>0.0</v>
      </c>
      <c r="Y7" s="4">
        <v>0.0</v>
      </c>
      <c r="Z7" s="5">
        <v>0.0</v>
      </c>
      <c r="AA7" s="5">
        <v>0.0</v>
      </c>
      <c r="AB7" s="5">
        <v>0.0</v>
      </c>
      <c r="AC7" s="5">
        <v>0.0</v>
      </c>
      <c r="AD7" s="5">
        <v>0.0</v>
      </c>
      <c r="AE7" s="5">
        <v>0.0</v>
      </c>
      <c r="AF7" s="6">
        <v>223.0</v>
      </c>
      <c r="AG7" s="6">
        <v>216.0</v>
      </c>
      <c r="AH7" s="6">
        <v>216.0</v>
      </c>
      <c r="AI7" s="6">
        <v>173.0</v>
      </c>
      <c r="AJ7" s="6">
        <v>145.0</v>
      </c>
      <c r="AK7" s="6">
        <v>0.0</v>
      </c>
      <c r="AL7" s="4">
        <f t="shared" si="1"/>
        <v>7260</v>
      </c>
      <c r="AM7" s="4">
        <v>3563.0</v>
      </c>
      <c r="AN7" s="4">
        <v>899.0</v>
      </c>
      <c r="AO7" s="4">
        <v>4462.0</v>
      </c>
      <c r="AP7" s="4">
        <v>96.0</v>
      </c>
      <c r="AQ7" s="4">
        <v>4361.0</v>
      </c>
      <c r="AR7" s="4">
        <v>5.0</v>
      </c>
      <c r="AS7" s="4">
        <v>443.0</v>
      </c>
      <c r="AT7" s="4">
        <v>2240.0</v>
      </c>
      <c r="AU7" s="4">
        <v>126.0</v>
      </c>
      <c r="AV7" s="4">
        <v>1992.0</v>
      </c>
      <c r="AW7" s="4">
        <v>1.0</v>
      </c>
      <c r="AX7" s="4">
        <v>564.0</v>
      </c>
      <c r="AY7" s="4">
        <v>0.0</v>
      </c>
      <c r="AZ7" s="4">
        <v>0.0</v>
      </c>
      <c r="BA7" s="4">
        <v>0.0</v>
      </c>
      <c r="BB7" s="4">
        <v>0.0</v>
      </c>
      <c r="BC7" s="4">
        <v>0.0</v>
      </c>
      <c r="BD7" s="4">
        <v>0.0</v>
      </c>
      <c r="BE7" s="4">
        <v>0.0</v>
      </c>
      <c r="BF7" s="4">
        <v>0.0</v>
      </c>
      <c r="BG7" s="7"/>
      <c r="BH7" s="4">
        <v>0.0</v>
      </c>
      <c r="BI7" s="4">
        <v>0.0</v>
      </c>
      <c r="BJ7" s="4">
        <v>0.0</v>
      </c>
      <c r="BK7" s="4">
        <v>1200.0</v>
      </c>
      <c r="BL7" s="4">
        <v>336.0</v>
      </c>
      <c r="BM7" s="4">
        <v>1536.0</v>
      </c>
      <c r="BN7" s="4">
        <v>57.0</v>
      </c>
      <c r="BO7" s="4">
        <v>1328.0</v>
      </c>
      <c r="BP7" s="4">
        <v>151.0</v>
      </c>
      <c r="BQ7" s="4">
        <v>175.0</v>
      </c>
      <c r="BR7" s="4">
        <v>727.0</v>
      </c>
      <c r="BS7" s="4">
        <v>0.0</v>
      </c>
      <c r="BT7" s="4">
        <v>902.0</v>
      </c>
      <c r="BU7" s="4">
        <v>0.0</v>
      </c>
      <c r="BV7" s="4">
        <v>0.0</v>
      </c>
      <c r="BW7" s="8">
        <v>0.0</v>
      </c>
      <c r="BX7" s="8">
        <v>0.0</v>
      </c>
      <c r="BY7" s="8">
        <v>0.0</v>
      </c>
      <c r="BZ7" s="8">
        <v>0.0</v>
      </c>
      <c r="CA7" s="8">
        <v>0.0</v>
      </c>
      <c r="CB7" s="8">
        <v>0.0</v>
      </c>
      <c r="CC7" s="8">
        <v>0.0</v>
      </c>
      <c r="CD7" s="8">
        <v>0.0</v>
      </c>
      <c r="CE7" s="8">
        <v>0.0</v>
      </c>
      <c r="CF7" s="8">
        <v>0.0</v>
      </c>
      <c r="CG7" s="8">
        <v>0.0</v>
      </c>
      <c r="CH7" s="8">
        <v>0.0</v>
      </c>
      <c r="CI7" s="4">
        <v>690.0</v>
      </c>
      <c r="CJ7" s="4">
        <v>169.0</v>
      </c>
      <c r="CK7" s="4">
        <v>859.0</v>
      </c>
      <c r="CL7" s="4">
        <v>26.0</v>
      </c>
      <c r="CM7" s="4">
        <v>833.0</v>
      </c>
      <c r="CN7" s="4">
        <v>0.0</v>
      </c>
      <c r="CO7" s="4">
        <v>83.0</v>
      </c>
      <c r="CP7" s="4">
        <v>442.0</v>
      </c>
      <c r="CQ7" s="4">
        <v>1.0</v>
      </c>
      <c r="CR7" s="4">
        <v>391.0</v>
      </c>
      <c r="CS7" s="4">
        <v>0.0</v>
      </c>
      <c r="CT7" s="4">
        <v>133.0</v>
      </c>
      <c r="CU7" s="4">
        <f t="shared" si="2"/>
        <v>6857</v>
      </c>
      <c r="CV7" s="4">
        <v>2806.0</v>
      </c>
      <c r="CW7" s="4">
        <v>18.0</v>
      </c>
      <c r="CX7" s="4">
        <f t="shared" si="3"/>
        <v>2824</v>
      </c>
    </row>
    <row r="8">
      <c r="A8" s="4">
        <v>7.0</v>
      </c>
      <c r="B8" s="4" t="s">
        <v>102</v>
      </c>
      <c r="C8" s="4" t="s">
        <v>110</v>
      </c>
      <c r="D8" s="4" t="s">
        <v>104</v>
      </c>
      <c r="E8" s="4">
        <v>2025.0</v>
      </c>
      <c r="F8" s="4">
        <v>12.49</v>
      </c>
      <c r="G8" s="4">
        <v>282.0</v>
      </c>
      <c r="H8" s="4">
        <v>595.0</v>
      </c>
      <c r="I8" s="4">
        <v>595.0</v>
      </c>
      <c r="J8" s="4">
        <v>470.0</v>
      </c>
      <c r="K8" s="4">
        <v>425.0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443.0</v>
      </c>
      <c r="U8" s="4">
        <v>320.0</v>
      </c>
      <c r="V8" s="4">
        <v>0.0</v>
      </c>
      <c r="W8" s="4">
        <v>0.0</v>
      </c>
      <c r="X8" s="4">
        <v>0.0</v>
      </c>
      <c r="Y8" s="4">
        <v>0.0</v>
      </c>
      <c r="Z8" s="4">
        <v>48.0</v>
      </c>
      <c r="AA8" s="4">
        <v>51.0</v>
      </c>
      <c r="AB8" s="4">
        <v>42.0</v>
      </c>
      <c r="AC8" s="4">
        <v>0.0</v>
      </c>
      <c r="AD8" s="4">
        <v>0.0</v>
      </c>
      <c r="AE8" s="4">
        <v>0.0</v>
      </c>
      <c r="AF8" s="4">
        <v>0.0</v>
      </c>
      <c r="AG8" s="4">
        <v>0.0</v>
      </c>
      <c r="AH8" s="4">
        <v>0.0</v>
      </c>
      <c r="AI8" s="4">
        <v>0.0</v>
      </c>
      <c r="AJ8" s="4">
        <v>0.0</v>
      </c>
      <c r="AK8" s="4">
        <v>0.0</v>
      </c>
      <c r="AL8" s="4">
        <f t="shared" si="1"/>
        <v>2989</v>
      </c>
      <c r="AM8" s="4">
        <v>1561.0</v>
      </c>
      <c r="AN8" s="4">
        <v>397.0</v>
      </c>
      <c r="AO8" s="4">
        <v>1958.0</v>
      </c>
      <c r="AP8" s="4">
        <v>670.0</v>
      </c>
      <c r="AQ8" s="4">
        <v>1266.0</v>
      </c>
      <c r="AR8" s="4">
        <v>22.0</v>
      </c>
      <c r="AS8" s="4">
        <v>77.0</v>
      </c>
      <c r="AT8" s="4">
        <v>537.0</v>
      </c>
      <c r="AU8" s="4">
        <v>31.0</v>
      </c>
      <c r="AV8" s="4">
        <v>583.0</v>
      </c>
      <c r="AW8" s="4">
        <v>0.0</v>
      </c>
      <c r="AX8" s="4">
        <v>0.0</v>
      </c>
      <c r="AY8" s="4">
        <v>0.0</v>
      </c>
      <c r="AZ8" s="4">
        <v>0.0</v>
      </c>
      <c r="BA8" s="4">
        <v>0.0</v>
      </c>
      <c r="BB8" s="4">
        <v>0.0</v>
      </c>
      <c r="BC8" s="4">
        <v>0.0</v>
      </c>
      <c r="BD8" s="4">
        <v>0.0</v>
      </c>
      <c r="BE8" s="4">
        <v>0.0</v>
      </c>
      <c r="BF8" s="4">
        <v>0.0</v>
      </c>
      <c r="BG8" s="4">
        <v>0.0</v>
      </c>
      <c r="BH8" s="4">
        <v>0.0</v>
      </c>
      <c r="BI8" s="4">
        <v>0.0</v>
      </c>
      <c r="BJ8" s="4">
        <v>0.0</v>
      </c>
      <c r="BK8" s="4">
        <v>567.0</v>
      </c>
      <c r="BL8" s="4">
        <v>152.0</v>
      </c>
      <c r="BM8" s="4">
        <v>719.0</v>
      </c>
      <c r="BN8" s="4">
        <v>105.0</v>
      </c>
      <c r="BO8" s="4">
        <v>610.0</v>
      </c>
      <c r="BP8" s="4">
        <v>4.0</v>
      </c>
      <c r="BQ8" s="4">
        <v>69.0</v>
      </c>
      <c r="BR8" s="4">
        <v>92.0</v>
      </c>
      <c r="BS8" s="4">
        <v>0.0</v>
      </c>
      <c r="BT8" s="4">
        <v>92.0</v>
      </c>
      <c r="BU8" s="4">
        <v>0.0</v>
      </c>
      <c r="BV8" s="4">
        <v>69.0</v>
      </c>
      <c r="BW8" s="4">
        <v>116.0</v>
      </c>
      <c r="BX8" s="4">
        <v>25.0</v>
      </c>
      <c r="BY8" s="4">
        <v>141.0</v>
      </c>
      <c r="BZ8" s="4">
        <v>18.0</v>
      </c>
      <c r="CA8" s="4">
        <v>123.0</v>
      </c>
      <c r="CB8" s="4">
        <v>0.0</v>
      </c>
      <c r="CC8" s="4">
        <v>10.0</v>
      </c>
      <c r="CD8" s="4">
        <v>1.0</v>
      </c>
      <c r="CE8" s="4">
        <v>0.0</v>
      </c>
      <c r="CF8" s="4">
        <v>1.0</v>
      </c>
      <c r="CG8" s="4">
        <v>0.0</v>
      </c>
      <c r="CH8" s="4">
        <v>10.0</v>
      </c>
      <c r="CI8" s="4">
        <v>0.0</v>
      </c>
      <c r="CJ8" s="4">
        <v>0.0</v>
      </c>
      <c r="CK8" s="4">
        <v>0.0</v>
      </c>
      <c r="CL8" s="4">
        <v>0.0</v>
      </c>
      <c r="CM8" s="4">
        <v>0.0</v>
      </c>
      <c r="CN8" s="4">
        <v>0.0</v>
      </c>
      <c r="CO8" s="4">
        <v>0.0</v>
      </c>
      <c r="CP8" s="4">
        <v>0.0</v>
      </c>
      <c r="CQ8" s="4">
        <v>0.0</v>
      </c>
      <c r="CR8" s="4">
        <v>0.0</v>
      </c>
      <c r="CS8" s="4">
        <v>0.0</v>
      </c>
      <c r="CT8" s="4">
        <v>0.0</v>
      </c>
      <c r="CU8" s="4">
        <f t="shared" si="2"/>
        <v>2818</v>
      </c>
      <c r="CV8" s="4">
        <v>711.0</v>
      </c>
      <c r="CW8" s="4">
        <v>165.0</v>
      </c>
      <c r="CX8" s="4">
        <f t="shared" si="3"/>
        <v>876</v>
      </c>
    </row>
    <row r="9">
      <c r="A9" s="4">
        <v>8.0</v>
      </c>
      <c r="B9" s="4" t="s">
        <v>102</v>
      </c>
      <c r="C9" s="4" t="s">
        <v>111</v>
      </c>
      <c r="D9" s="4" t="s">
        <v>104</v>
      </c>
      <c r="E9" s="4">
        <v>2025.0</v>
      </c>
      <c r="F9" s="4">
        <v>17.86</v>
      </c>
      <c r="G9" s="4">
        <v>460.0</v>
      </c>
      <c r="H9" s="4">
        <v>1008.0</v>
      </c>
      <c r="I9" s="4">
        <v>1008.0</v>
      </c>
      <c r="J9" s="4">
        <v>902.0</v>
      </c>
      <c r="K9" s="4">
        <v>978.0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  <c r="T9" s="4">
        <v>795.0</v>
      </c>
      <c r="U9" s="4">
        <v>993.0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0.0</v>
      </c>
      <c r="AG9" s="4">
        <v>0.0</v>
      </c>
      <c r="AH9" s="4">
        <v>0.0</v>
      </c>
      <c r="AI9" s="4">
        <v>0.0</v>
      </c>
      <c r="AJ9" s="4">
        <v>0.0</v>
      </c>
      <c r="AK9" s="4">
        <v>0.0</v>
      </c>
      <c r="AL9" s="4">
        <f t="shared" si="1"/>
        <v>5684</v>
      </c>
      <c r="AM9" s="4">
        <v>3084.0</v>
      </c>
      <c r="AN9" s="4">
        <v>830.0</v>
      </c>
      <c r="AO9" s="4">
        <v>3914.0</v>
      </c>
      <c r="AP9" s="4">
        <v>140.0</v>
      </c>
      <c r="AQ9" s="4">
        <v>3759.0</v>
      </c>
      <c r="AR9" s="4">
        <v>15.0</v>
      </c>
      <c r="AS9" s="4">
        <v>1103.0</v>
      </c>
      <c r="AT9" s="4">
        <v>1963.0</v>
      </c>
      <c r="AU9" s="4">
        <v>0.0</v>
      </c>
      <c r="AV9" s="4">
        <v>1487.0</v>
      </c>
      <c r="AW9" s="4">
        <v>0.0</v>
      </c>
      <c r="AX9" s="4">
        <v>1579.0</v>
      </c>
      <c r="AY9" s="4">
        <v>0.0</v>
      </c>
      <c r="AZ9" s="4">
        <v>0.0</v>
      </c>
      <c r="BA9" s="4">
        <v>0.0</v>
      </c>
      <c r="BB9" s="4">
        <v>0.0</v>
      </c>
      <c r="BC9" s="4">
        <v>0.0</v>
      </c>
      <c r="BD9" s="4">
        <v>0.0</v>
      </c>
      <c r="BE9" s="4">
        <v>0.0</v>
      </c>
      <c r="BF9" s="4">
        <v>0.0</v>
      </c>
      <c r="BG9" s="4">
        <v>0.0</v>
      </c>
      <c r="BH9" s="4">
        <v>0.0</v>
      </c>
      <c r="BI9" s="4">
        <v>0.0</v>
      </c>
      <c r="BJ9" s="4">
        <v>0.0</v>
      </c>
      <c r="BK9" s="4">
        <v>1242.0</v>
      </c>
      <c r="BL9" s="4">
        <v>257.0</v>
      </c>
      <c r="BM9" s="4">
        <v>1499.0</v>
      </c>
      <c r="BN9" s="4">
        <v>69.0</v>
      </c>
      <c r="BO9" s="4">
        <v>1424.0</v>
      </c>
      <c r="BP9" s="4">
        <v>6.0</v>
      </c>
      <c r="BQ9" s="4">
        <v>170.0</v>
      </c>
      <c r="BR9" s="4">
        <v>844.0</v>
      </c>
      <c r="BS9" s="4">
        <v>337.0</v>
      </c>
      <c r="BT9" s="4">
        <v>0.0</v>
      </c>
      <c r="BU9" s="4">
        <v>0.0</v>
      </c>
      <c r="BV9" s="4">
        <v>677.0</v>
      </c>
      <c r="BW9" s="4">
        <v>0.0</v>
      </c>
      <c r="BX9" s="4">
        <v>0.0</v>
      </c>
      <c r="BY9" s="4">
        <v>0.0</v>
      </c>
      <c r="BZ9" s="4">
        <v>0.0</v>
      </c>
      <c r="CA9" s="4">
        <v>0.0</v>
      </c>
      <c r="CB9" s="4">
        <v>0.0</v>
      </c>
      <c r="CC9" s="4">
        <v>0.0</v>
      </c>
      <c r="CD9" s="4">
        <v>0.0</v>
      </c>
      <c r="CE9" s="4">
        <v>0.0</v>
      </c>
      <c r="CF9" s="4">
        <v>0.0</v>
      </c>
      <c r="CG9" s="4">
        <v>0.0</v>
      </c>
      <c r="CH9" s="4">
        <v>0.0</v>
      </c>
      <c r="CI9" s="4">
        <v>0.0</v>
      </c>
      <c r="CJ9" s="4">
        <v>0.0</v>
      </c>
      <c r="CK9" s="4">
        <v>0.0</v>
      </c>
      <c r="CL9" s="4">
        <v>0.0</v>
      </c>
      <c r="CM9" s="4">
        <v>0.0</v>
      </c>
      <c r="CN9" s="4">
        <v>0.0</v>
      </c>
      <c r="CO9" s="4">
        <v>0.0</v>
      </c>
      <c r="CP9" s="4">
        <v>0.0</v>
      </c>
      <c r="CQ9" s="4">
        <v>0.0</v>
      </c>
      <c r="CR9" s="4">
        <v>0.0</v>
      </c>
      <c r="CS9" s="4">
        <v>0.0</v>
      </c>
      <c r="CT9" s="4">
        <v>0.0</v>
      </c>
      <c r="CU9" s="4">
        <f t="shared" si="2"/>
        <v>5413</v>
      </c>
      <c r="CV9" s="4">
        <v>2146.0</v>
      </c>
      <c r="CW9" s="4">
        <v>174.0</v>
      </c>
      <c r="CX9" s="4">
        <f t="shared" si="3"/>
        <v>2320</v>
      </c>
    </row>
    <row r="10">
      <c r="A10" s="4">
        <v>9.0</v>
      </c>
      <c r="B10" s="4" t="s">
        <v>112</v>
      </c>
      <c r="C10" s="4" t="s">
        <v>113</v>
      </c>
      <c r="D10" s="4" t="s">
        <v>104</v>
      </c>
      <c r="E10" s="4">
        <v>2025.0</v>
      </c>
      <c r="F10" s="4">
        <v>17.5</v>
      </c>
      <c r="G10" s="4">
        <v>320.0</v>
      </c>
      <c r="H10" s="4">
        <v>964.0</v>
      </c>
      <c r="I10" s="4">
        <v>964.0</v>
      </c>
      <c r="J10" s="4">
        <v>964.0</v>
      </c>
      <c r="K10" s="4">
        <v>964.0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658.0</v>
      </c>
      <c r="U10" s="4">
        <v>658.0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0.0</v>
      </c>
      <c r="AG10" s="4">
        <v>0.0</v>
      </c>
      <c r="AH10" s="4">
        <v>0.0</v>
      </c>
      <c r="AI10" s="4">
        <v>0.0</v>
      </c>
      <c r="AJ10" s="4">
        <v>0.0</v>
      </c>
      <c r="AK10" s="4">
        <v>0.0</v>
      </c>
      <c r="AL10" s="4">
        <f t="shared" si="1"/>
        <v>5172</v>
      </c>
      <c r="AM10" s="4">
        <v>3337.0</v>
      </c>
      <c r="AN10" s="4">
        <v>950.0</v>
      </c>
      <c r="AO10" s="4">
        <v>4287.0</v>
      </c>
      <c r="AP10" s="4">
        <v>1858.0</v>
      </c>
      <c r="AQ10" s="4">
        <v>2285.0</v>
      </c>
      <c r="AR10" s="4">
        <v>144.0</v>
      </c>
      <c r="AS10" s="4">
        <v>554.0</v>
      </c>
      <c r="AT10" s="4">
        <v>2216.0</v>
      </c>
      <c r="AU10" s="4">
        <v>68.0</v>
      </c>
      <c r="AV10" s="4">
        <v>2130.0</v>
      </c>
      <c r="AW10" s="4">
        <v>37.0</v>
      </c>
      <c r="AX10" s="4">
        <v>535.0</v>
      </c>
      <c r="AY10" s="4">
        <v>0.0</v>
      </c>
      <c r="AZ10" s="4">
        <v>0.0</v>
      </c>
      <c r="BA10" s="4">
        <v>0.0</v>
      </c>
      <c r="BB10" s="4">
        <v>0.0</v>
      </c>
      <c r="BC10" s="4">
        <v>0.0</v>
      </c>
      <c r="BD10" s="4">
        <v>0.0</v>
      </c>
      <c r="BE10" s="4">
        <v>0.0</v>
      </c>
      <c r="BF10" s="4">
        <v>0.0</v>
      </c>
      <c r="BG10" s="4">
        <v>0.0</v>
      </c>
      <c r="BH10" s="4">
        <v>0.0</v>
      </c>
      <c r="BI10" s="4">
        <v>0.0</v>
      </c>
      <c r="BJ10" s="4">
        <v>0.0</v>
      </c>
      <c r="BK10" s="4">
        <v>853.0</v>
      </c>
      <c r="BL10" s="4">
        <v>156.0</v>
      </c>
      <c r="BM10" s="4">
        <v>1009.0</v>
      </c>
      <c r="BN10" s="4">
        <v>78.0</v>
      </c>
      <c r="BO10" s="4">
        <v>926.0</v>
      </c>
      <c r="BP10" s="4">
        <v>5.0</v>
      </c>
      <c r="BQ10" s="4">
        <v>146.0</v>
      </c>
      <c r="BR10" s="4">
        <v>589.0</v>
      </c>
      <c r="BS10" s="4">
        <v>5.0</v>
      </c>
      <c r="BT10" s="4">
        <v>730.0</v>
      </c>
      <c r="BU10" s="4">
        <v>0.0</v>
      </c>
      <c r="BV10" s="4">
        <v>0.0</v>
      </c>
      <c r="BW10" s="4">
        <v>0.0</v>
      </c>
      <c r="BX10" s="4">
        <v>0.0</v>
      </c>
      <c r="BY10" s="4">
        <v>0.0</v>
      </c>
      <c r="BZ10" s="4">
        <v>0.0</v>
      </c>
      <c r="CA10" s="4">
        <v>0.0</v>
      </c>
      <c r="CB10" s="4">
        <v>0.0</v>
      </c>
      <c r="CC10" s="4">
        <v>0.0</v>
      </c>
      <c r="CD10" s="4">
        <v>0.0</v>
      </c>
      <c r="CE10" s="4">
        <v>0.0</v>
      </c>
      <c r="CF10" s="4">
        <v>0.0</v>
      </c>
      <c r="CG10" s="4">
        <v>0.0</v>
      </c>
      <c r="CH10" s="4">
        <v>0.0</v>
      </c>
      <c r="CI10" s="4">
        <v>0.0</v>
      </c>
      <c r="CJ10" s="4">
        <v>0.0</v>
      </c>
      <c r="CK10" s="4">
        <v>0.0</v>
      </c>
      <c r="CL10" s="4">
        <v>0.0</v>
      </c>
      <c r="CM10" s="4">
        <v>0.0</v>
      </c>
      <c r="CN10" s="4">
        <v>0.0</v>
      </c>
      <c r="CO10" s="4">
        <v>0.0</v>
      </c>
      <c r="CP10" s="4">
        <v>0.0</v>
      </c>
      <c r="CQ10" s="4">
        <v>0.0</v>
      </c>
      <c r="CR10" s="4">
        <v>0.0</v>
      </c>
      <c r="CS10" s="4">
        <v>0.0</v>
      </c>
      <c r="CT10" s="4">
        <v>0.0</v>
      </c>
      <c r="CU10" s="4">
        <f t="shared" si="2"/>
        <v>5296</v>
      </c>
      <c r="CV10" s="4">
        <v>649.0</v>
      </c>
      <c r="CW10" s="4">
        <v>172.0</v>
      </c>
      <c r="CX10" s="4">
        <f t="shared" si="3"/>
        <v>821</v>
      </c>
    </row>
    <row r="11">
      <c r="A11" s="4">
        <v>10.0</v>
      </c>
      <c r="B11" s="4" t="s">
        <v>114</v>
      </c>
      <c r="C11" s="4" t="s">
        <v>115</v>
      </c>
      <c r="D11" s="4" t="s">
        <v>104</v>
      </c>
      <c r="E11" s="4">
        <v>2025.0</v>
      </c>
      <c r="F11" s="4">
        <v>17.62</v>
      </c>
      <c r="G11" s="4">
        <v>382.0</v>
      </c>
      <c r="H11" s="4">
        <v>1163.0</v>
      </c>
      <c r="I11" s="4">
        <v>1163.0</v>
      </c>
      <c r="J11" s="4">
        <v>1163.0</v>
      </c>
      <c r="K11" s="4">
        <v>1163.0</v>
      </c>
      <c r="L11" s="4">
        <v>0.0</v>
      </c>
      <c r="M11" s="4">
        <v>0.0</v>
      </c>
      <c r="N11" s="4">
        <v>400.0</v>
      </c>
      <c r="O11" s="4">
        <v>400.0</v>
      </c>
      <c r="P11" s="4">
        <v>400.0</v>
      </c>
      <c r="Q11" s="4">
        <v>400.0</v>
      </c>
      <c r="R11" s="4">
        <v>334.0</v>
      </c>
      <c r="S11" s="4">
        <v>0.0</v>
      </c>
      <c r="T11" s="4">
        <v>555.0</v>
      </c>
      <c r="U11" s="4">
        <v>555.0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0.0</v>
      </c>
      <c r="AG11" s="4">
        <v>0.0</v>
      </c>
      <c r="AH11" s="4">
        <v>0.0</v>
      </c>
      <c r="AI11" s="4">
        <v>0.0</v>
      </c>
      <c r="AJ11" s="4">
        <v>0.0</v>
      </c>
      <c r="AK11" s="4">
        <v>0.0</v>
      </c>
      <c r="AL11" s="4">
        <f t="shared" si="1"/>
        <v>7696</v>
      </c>
      <c r="AM11" s="4">
        <v>3663.0</v>
      </c>
      <c r="AN11" s="4">
        <v>897.0</v>
      </c>
      <c r="AO11" s="4">
        <v>4560.0</v>
      </c>
      <c r="AP11" s="4">
        <v>1048.0</v>
      </c>
      <c r="AQ11" s="4">
        <v>3510.0</v>
      </c>
      <c r="AR11" s="4">
        <v>2.0</v>
      </c>
      <c r="AS11" s="4">
        <v>1219.0</v>
      </c>
      <c r="AT11" s="4">
        <v>2238.0</v>
      </c>
      <c r="AU11" s="4">
        <v>966.0</v>
      </c>
      <c r="AV11" s="4">
        <v>2291.0</v>
      </c>
      <c r="AW11" s="4">
        <v>200.0</v>
      </c>
      <c r="AX11" s="4">
        <v>0.0</v>
      </c>
      <c r="AY11" s="4">
        <v>1467.0</v>
      </c>
      <c r="AZ11" s="4">
        <v>348.0</v>
      </c>
      <c r="BA11" s="4">
        <v>1815.0</v>
      </c>
      <c r="BB11" s="4">
        <v>367.0</v>
      </c>
      <c r="BC11" s="4">
        <v>1446.0</v>
      </c>
      <c r="BD11" s="4">
        <v>2.0</v>
      </c>
      <c r="BE11" s="4">
        <v>490.0</v>
      </c>
      <c r="BF11" s="4">
        <v>919.0</v>
      </c>
      <c r="BG11" s="4">
        <v>169.0</v>
      </c>
      <c r="BH11" s="4">
        <v>1173.0</v>
      </c>
      <c r="BI11" s="4">
        <v>67.0</v>
      </c>
      <c r="BJ11" s="4">
        <v>0.0</v>
      </c>
      <c r="BK11" s="4">
        <v>682.0</v>
      </c>
      <c r="BL11" s="4">
        <v>138.0</v>
      </c>
      <c r="BM11" s="4">
        <v>820.0</v>
      </c>
      <c r="BN11" s="4">
        <v>189.0</v>
      </c>
      <c r="BO11" s="4">
        <v>625.0</v>
      </c>
      <c r="BP11" s="4">
        <v>6.0</v>
      </c>
      <c r="BQ11" s="4">
        <v>236.0</v>
      </c>
      <c r="BR11" s="4">
        <v>486.0</v>
      </c>
      <c r="BS11" s="4">
        <v>0.0</v>
      </c>
      <c r="BT11" s="4">
        <v>722.0</v>
      </c>
      <c r="BU11" s="4">
        <v>0.0</v>
      </c>
      <c r="BV11" s="4">
        <v>0.0</v>
      </c>
      <c r="BW11" s="4">
        <v>0.0</v>
      </c>
      <c r="BX11" s="4">
        <v>0.0</v>
      </c>
      <c r="BY11" s="4">
        <v>0.0</v>
      </c>
      <c r="BZ11" s="4">
        <v>0.0</v>
      </c>
      <c r="CA11" s="4">
        <v>0.0</v>
      </c>
      <c r="CB11" s="4">
        <v>0.0</v>
      </c>
      <c r="CC11" s="4">
        <v>0.0</v>
      </c>
      <c r="CD11" s="4">
        <v>0.0</v>
      </c>
      <c r="CE11" s="4">
        <v>0.0</v>
      </c>
      <c r="CF11" s="4">
        <v>0.0</v>
      </c>
      <c r="CG11" s="4">
        <v>0.0</v>
      </c>
      <c r="CH11" s="4">
        <v>0.0</v>
      </c>
      <c r="CI11" s="4">
        <v>0.0</v>
      </c>
      <c r="CJ11" s="4">
        <v>0.0</v>
      </c>
      <c r="CK11" s="4">
        <v>0.0</v>
      </c>
      <c r="CL11" s="4">
        <v>0.0</v>
      </c>
      <c r="CM11" s="4">
        <v>0.0</v>
      </c>
      <c r="CN11" s="4">
        <v>0.0</v>
      </c>
      <c r="CO11" s="4">
        <v>0.0</v>
      </c>
      <c r="CP11" s="4">
        <v>0.0</v>
      </c>
      <c r="CQ11" s="4">
        <v>0.0</v>
      </c>
      <c r="CR11" s="4">
        <v>0.0</v>
      </c>
      <c r="CS11" s="4">
        <v>0.0</v>
      </c>
      <c r="CT11" s="4">
        <v>0.0</v>
      </c>
      <c r="CU11" s="4">
        <f t="shared" si="2"/>
        <v>7195</v>
      </c>
      <c r="CV11" s="4">
        <v>1123.0</v>
      </c>
      <c r="CW11" s="4">
        <v>73.0</v>
      </c>
      <c r="CX11" s="4">
        <f t="shared" si="3"/>
        <v>1196</v>
      </c>
    </row>
    <row r="12">
      <c r="A12" s="4">
        <v>11.0</v>
      </c>
      <c r="B12" s="4" t="s">
        <v>116</v>
      </c>
      <c r="C12" s="4" t="s">
        <v>117</v>
      </c>
      <c r="D12" s="4" t="s">
        <v>118</v>
      </c>
      <c r="E12" s="4">
        <v>2025.0</v>
      </c>
      <c r="F12" s="4">
        <v>19.0</v>
      </c>
      <c r="G12" s="4">
        <v>810.0</v>
      </c>
      <c r="H12" s="4">
        <v>2003.0</v>
      </c>
      <c r="I12" s="4">
        <v>2961.0</v>
      </c>
      <c r="J12" s="4">
        <v>2691.0</v>
      </c>
      <c r="K12" s="4">
        <v>2806.0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486.0</v>
      </c>
      <c r="U12" s="4">
        <v>620.0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  <c r="AG12" s="4">
        <v>0.0</v>
      </c>
      <c r="AH12" s="4">
        <v>0.0</v>
      </c>
      <c r="AI12" s="4">
        <v>0.0</v>
      </c>
      <c r="AJ12" s="4">
        <v>0.0</v>
      </c>
      <c r="AK12" s="4">
        <v>0.0</v>
      </c>
      <c r="AL12" s="4">
        <f t="shared" si="1"/>
        <v>11567</v>
      </c>
      <c r="AM12" s="4">
        <v>9088.0</v>
      </c>
      <c r="AN12" s="4">
        <v>1397.0</v>
      </c>
      <c r="AO12" s="4">
        <v>10485.0</v>
      </c>
      <c r="AP12" s="4">
        <v>1907.0</v>
      </c>
      <c r="AQ12" s="4">
        <v>8180.0</v>
      </c>
      <c r="AR12" s="4">
        <v>398.0</v>
      </c>
      <c r="AS12" s="4">
        <v>1395.0</v>
      </c>
      <c r="AT12" s="4">
        <v>527.0</v>
      </c>
      <c r="AU12" s="4">
        <v>0.0</v>
      </c>
      <c r="AV12" s="4">
        <v>84.0</v>
      </c>
      <c r="AW12" s="4">
        <v>0.0</v>
      </c>
      <c r="AX12" s="4">
        <v>1838.0</v>
      </c>
      <c r="AY12" s="4">
        <v>0.0</v>
      </c>
      <c r="AZ12" s="4">
        <v>0.0</v>
      </c>
      <c r="BA12" s="4">
        <v>0.0</v>
      </c>
      <c r="BB12" s="4">
        <v>0.0</v>
      </c>
      <c r="BC12" s="4">
        <v>0.0</v>
      </c>
      <c r="BD12" s="4">
        <v>0.0</v>
      </c>
      <c r="BE12" s="4">
        <v>0.0</v>
      </c>
      <c r="BF12" s="4">
        <v>0.0</v>
      </c>
      <c r="BG12" s="4">
        <v>0.0</v>
      </c>
      <c r="BH12" s="4">
        <v>0.0</v>
      </c>
      <c r="BI12" s="4">
        <v>0.0</v>
      </c>
      <c r="BJ12" s="4">
        <v>0.0</v>
      </c>
      <c r="BK12" s="4">
        <v>880.0</v>
      </c>
      <c r="BL12" s="4">
        <v>242.0</v>
      </c>
      <c r="BM12" s="4">
        <v>1122.0</v>
      </c>
      <c r="BN12" s="4">
        <v>180.0</v>
      </c>
      <c r="BO12" s="4">
        <v>942.0</v>
      </c>
      <c r="BP12" s="4">
        <v>0.0</v>
      </c>
      <c r="BQ12" s="4">
        <v>552.0</v>
      </c>
      <c r="BR12" s="4">
        <v>241.0</v>
      </c>
      <c r="BS12" s="4">
        <v>0.0</v>
      </c>
      <c r="BT12" s="4">
        <v>0.0</v>
      </c>
      <c r="BU12" s="4">
        <v>0.0</v>
      </c>
      <c r="BV12" s="4">
        <v>793.0</v>
      </c>
      <c r="BW12" s="4">
        <v>0.0</v>
      </c>
      <c r="BX12" s="4">
        <v>0.0</v>
      </c>
      <c r="BY12" s="4">
        <v>0.0</v>
      </c>
      <c r="BZ12" s="4">
        <v>0.0</v>
      </c>
      <c r="CA12" s="4">
        <v>0.0</v>
      </c>
      <c r="CB12" s="4">
        <v>0.0</v>
      </c>
      <c r="CC12" s="4">
        <v>0.0</v>
      </c>
      <c r="CD12" s="4">
        <v>0.0</v>
      </c>
      <c r="CE12" s="4">
        <v>0.0</v>
      </c>
      <c r="CF12" s="4">
        <v>0.0</v>
      </c>
      <c r="CG12" s="4">
        <v>0.0</v>
      </c>
      <c r="CH12" s="4">
        <v>0.0</v>
      </c>
      <c r="CI12" s="4">
        <v>0.0</v>
      </c>
      <c r="CJ12" s="4">
        <v>0.0</v>
      </c>
      <c r="CK12" s="4">
        <v>0.0</v>
      </c>
      <c r="CL12" s="4">
        <v>0.0</v>
      </c>
      <c r="CM12" s="4">
        <v>0.0</v>
      </c>
      <c r="CN12" s="4">
        <v>0.0</v>
      </c>
      <c r="CO12" s="4">
        <v>0.0</v>
      </c>
      <c r="CP12" s="4">
        <v>0.0</v>
      </c>
      <c r="CQ12" s="4">
        <v>0.0</v>
      </c>
      <c r="CR12" s="4">
        <v>0.0</v>
      </c>
      <c r="CS12" s="4">
        <v>0.0</v>
      </c>
      <c r="CT12" s="4">
        <v>0.0</v>
      </c>
      <c r="CU12" s="4">
        <f t="shared" si="2"/>
        <v>11607</v>
      </c>
      <c r="CV12" s="4">
        <v>588.0</v>
      </c>
      <c r="CW12" s="4">
        <v>264.0</v>
      </c>
      <c r="CX12" s="4">
        <f t="shared" si="3"/>
        <v>852</v>
      </c>
    </row>
    <row r="13">
      <c r="A13" s="4">
        <v>12.0</v>
      </c>
      <c r="B13" s="4" t="s">
        <v>102</v>
      </c>
      <c r="C13" s="4" t="s">
        <v>119</v>
      </c>
      <c r="D13" s="4" t="s">
        <v>104</v>
      </c>
      <c r="E13" s="4">
        <v>2025.0</v>
      </c>
      <c r="F13" s="4">
        <v>12.55</v>
      </c>
      <c r="G13" s="4">
        <v>229.0</v>
      </c>
      <c r="H13" s="4">
        <v>397.0</v>
      </c>
      <c r="I13" s="4">
        <v>360.0</v>
      </c>
      <c r="J13" s="4">
        <v>360.0</v>
      </c>
      <c r="K13" s="4">
        <v>360.0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  <c r="T13" s="4">
        <v>345.0</v>
      </c>
      <c r="U13" s="4">
        <v>270.0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0.0</v>
      </c>
      <c r="AG13" s="4">
        <v>0.0</v>
      </c>
      <c r="AH13" s="4">
        <v>0.0</v>
      </c>
      <c r="AI13" s="4">
        <v>0.0</v>
      </c>
      <c r="AJ13" s="4">
        <v>0.0</v>
      </c>
      <c r="AK13" s="4">
        <v>0.0</v>
      </c>
      <c r="AL13" s="4">
        <f t="shared" si="1"/>
        <v>2092</v>
      </c>
      <c r="AM13" s="4">
        <v>1210.0</v>
      </c>
      <c r="AN13" s="4">
        <v>314.0</v>
      </c>
      <c r="AO13" s="4">
        <v>1524.0</v>
      </c>
      <c r="AP13" s="4">
        <v>230.0</v>
      </c>
      <c r="AQ13" s="4">
        <v>1294.0</v>
      </c>
      <c r="AR13" s="4">
        <v>0.0</v>
      </c>
      <c r="AS13" s="4">
        <v>233.0</v>
      </c>
      <c r="AT13" s="4">
        <v>768.0</v>
      </c>
      <c r="AU13" s="4">
        <v>90.0</v>
      </c>
      <c r="AV13" s="4">
        <v>607.0</v>
      </c>
      <c r="AW13" s="4">
        <v>0.0</v>
      </c>
      <c r="AX13" s="4">
        <v>304.0</v>
      </c>
      <c r="AY13" s="4">
        <v>0.0</v>
      </c>
      <c r="AZ13" s="4">
        <v>0.0</v>
      </c>
      <c r="BA13" s="4">
        <v>0.0</v>
      </c>
      <c r="BB13" s="4">
        <v>0.0</v>
      </c>
      <c r="BC13" s="4">
        <v>0.0</v>
      </c>
      <c r="BD13" s="4">
        <v>0.0</v>
      </c>
      <c r="BE13" s="4">
        <v>0.0</v>
      </c>
      <c r="BF13" s="4">
        <v>0.0</v>
      </c>
      <c r="BG13" s="4">
        <v>0.0</v>
      </c>
      <c r="BH13" s="4">
        <v>0.0</v>
      </c>
      <c r="BI13" s="4">
        <v>0.0</v>
      </c>
      <c r="BJ13" s="4">
        <v>0.0</v>
      </c>
      <c r="BK13" s="4">
        <v>365.0</v>
      </c>
      <c r="BL13" s="4">
        <v>98.0</v>
      </c>
      <c r="BM13" s="4">
        <v>463.0</v>
      </c>
      <c r="BN13" s="4">
        <v>65.0</v>
      </c>
      <c r="BO13" s="4">
        <v>394.0</v>
      </c>
      <c r="BP13" s="4">
        <v>4.0</v>
      </c>
      <c r="BQ13" s="4">
        <v>0.0</v>
      </c>
      <c r="BR13" s="4">
        <v>201.0</v>
      </c>
      <c r="BS13" s="4">
        <v>0.0</v>
      </c>
      <c r="BT13" s="4">
        <v>86.0</v>
      </c>
      <c r="BU13" s="4">
        <v>0.0</v>
      </c>
      <c r="BV13" s="4">
        <v>115.0</v>
      </c>
      <c r="BW13" s="4">
        <v>0.0</v>
      </c>
      <c r="BX13" s="4">
        <v>0.0</v>
      </c>
      <c r="BY13" s="4">
        <v>0.0</v>
      </c>
      <c r="BZ13" s="4">
        <v>0.0</v>
      </c>
      <c r="CA13" s="4">
        <v>0.0</v>
      </c>
      <c r="CB13" s="4">
        <v>0.0</v>
      </c>
      <c r="CC13" s="4">
        <v>0.0</v>
      </c>
      <c r="CD13" s="4">
        <v>0.0</v>
      </c>
      <c r="CE13" s="4">
        <v>0.0</v>
      </c>
      <c r="CF13" s="4">
        <v>0.0</v>
      </c>
      <c r="CG13" s="4">
        <v>0.0</v>
      </c>
      <c r="CH13" s="4">
        <v>0.0</v>
      </c>
      <c r="CI13" s="4">
        <v>0.0</v>
      </c>
      <c r="CJ13" s="4">
        <v>0.0</v>
      </c>
      <c r="CK13" s="4">
        <v>0.0</v>
      </c>
      <c r="CL13" s="4">
        <v>0.0</v>
      </c>
      <c r="CM13" s="4">
        <v>0.0</v>
      </c>
      <c r="CN13" s="4">
        <v>0.0</v>
      </c>
      <c r="CO13" s="4">
        <v>0.0</v>
      </c>
      <c r="CP13" s="4">
        <v>0.0</v>
      </c>
      <c r="CQ13" s="4">
        <v>0.0</v>
      </c>
      <c r="CR13" s="4">
        <v>0.0</v>
      </c>
      <c r="CS13" s="4">
        <v>0.0</v>
      </c>
      <c r="CT13" s="4">
        <v>0.0</v>
      </c>
      <c r="CU13" s="4">
        <f t="shared" si="2"/>
        <v>1987</v>
      </c>
      <c r="CV13" s="4">
        <v>633.0</v>
      </c>
      <c r="CW13" s="4">
        <v>41.0</v>
      </c>
      <c r="CX13" s="4">
        <f t="shared" si="3"/>
        <v>674</v>
      </c>
    </row>
    <row r="14">
      <c r="A14" s="4">
        <v>13.0</v>
      </c>
      <c r="B14" s="4" t="s">
        <v>112</v>
      </c>
      <c r="C14" s="4" t="s">
        <v>120</v>
      </c>
      <c r="D14" s="4" t="s">
        <v>104</v>
      </c>
      <c r="E14" s="4">
        <v>2025.0</v>
      </c>
      <c r="F14" s="4">
        <v>17.5</v>
      </c>
      <c r="G14" s="4">
        <v>403.0</v>
      </c>
      <c r="H14" s="4">
        <v>888.0</v>
      </c>
      <c r="I14" s="4">
        <v>888.0</v>
      </c>
      <c r="J14" s="4">
        <v>888.0</v>
      </c>
      <c r="K14" s="4">
        <v>888.0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665.0</v>
      </c>
      <c r="U14" s="4">
        <v>725.0</v>
      </c>
      <c r="V14" s="4">
        <v>0.0</v>
      </c>
      <c r="W14" s="4">
        <v>0.0</v>
      </c>
      <c r="X14" s="4">
        <v>0.0</v>
      </c>
      <c r="Y14" s="4">
        <v>0.0</v>
      </c>
      <c r="Z14" s="5">
        <v>0.0</v>
      </c>
      <c r="AA14" s="5">
        <v>0.0</v>
      </c>
      <c r="AB14" s="5">
        <v>0.0</v>
      </c>
      <c r="AC14" s="5">
        <v>0.0</v>
      </c>
      <c r="AD14" s="5">
        <v>0.0</v>
      </c>
      <c r="AE14" s="5">
        <v>0.0</v>
      </c>
      <c r="AF14" s="6">
        <v>50.0</v>
      </c>
      <c r="AG14" s="6">
        <v>50.0</v>
      </c>
      <c r="AH14" s="6">
        <v>50.0</v>
      </c>
      <c r="AI14" s="6">
        <v>50.0</v>
      </c>
      <c r="AJ14" s="6">
        <v>50.0</v>
      </c>
      <c r="AK14" s="6">
        <v>0.0</v>
      </c>
      <c r="AL14" s="4">
        <f t="shared" si="1"/>
        <v>5192</v>
      </c>
      <c r="AM14" s="4">
        <v>330.0</v>
      </c>
      <c r="AN14" s="4">
        <v>823.0</v>
      </c>
      <c r="AO14" s="4">
        <v>4126.0</v>
      </c>
      <c r="AP14" s="4">
        <v>1917.0</v>
      </c>
      <c r="AQ14" s="4">
        <v>1929.0</v>
      </c>
      <c r="AR14" s="4">
        <v>280.0</v>
      </c>
      <c r="AS14" s="4">
        <v>618.0</v>
      </c>
      <c r="AT14" s="4">
        <v>1978.0</v>
      </c>
      <c r="AU14" s="4">
        <v>198.0</v>
      </c>
      <c r="AV14" s="4">
        <v>2210.0</v>
      </c>
      <c r="AW14" s="4">
        <v>46.0</v>
      </c>
      <c r="AX14" s="4">
        <v>142.0</v>
      </c>
      <c r="AY14" s="4">
        <v>0.0</v>
      </c>
      <c r="AZ14" s="4">
        <v>0.0</v>
      </c>
      <c r="BA14" s="4">
        <v>0.0</v>
      </c>
      <c r="BB14" s="4">
        <v>0.0</v>
      </c>
      <c r="BC14" s="4">
        <v>0.0</v>
      </c>
      <c r="BD14" s="4">
        <v>0.0</v>
      </c>
      <c r="BE14" s="4">
        <v>0.0</v>
      </c>
      <c r="BF14" s="4">
        <v>0.0</v>
      </c>
      <c r="BG14" s="4">
        <v>0.0</v>
      </c>
      <c r="BH14" s="4">
        <v>0.0</v>
      </c>
      <c r="BI14" s="4">
        <v>0.0</v>
      </c>
      <c r="BJ14" s="4">
        <v>0.0</v>
      </c>
      <c r="BK14" s="4">
        <v>769.0</v>
      </c>
      <c r="BL14" s="4">
        <v>192.0</v>
      </c>
      <c r="BM14" s="4">
        <v>961.0</v>
      </c>
      <c r="BN14" s="4">
        <v>158.0</v>
      </c>
      <c r="BO14" s="4">
        <v>786.0</v>
      </c>
      <c r="BP14" s="4">
        <v>17.0</v>
      </c>
      <c r="BQ14" s="4">
        <v>211.0</v>
      </c>
      <c r="BR14" s="4">
        <v>533.0</v>
      </c>
      <c r="BS14" s="4">
        <v>0.0</v>
      </c>
      <c r="BT14" s="4">
        <v>744.0</v>
      </c>
      <c r="BU14" s="4">
        <v>0.0</v>
      </c>
      <c r="BV14" s="4">
        <v>0.0</v>
      </c>
      <c r="BW14" s="4">
        <v>220.0</v>
      </c>
      <c r="BX14" s="4">
        <v>25.0</v>
      </c>
      <c r="BY14" s="4">
        <v>245.0</v>
      </c>
      <c r="BZ14" s="4">
        <v>119.0</v>
      </c>
      <c r="CA14" s="4">
        <v>123.0</v>
      </c>
      <c r="CB14" s="4">
        <v>3.0</v>
      </c>
      <c r="CC14" s="4">
        <v>43.0</v>
      </c>
      <c r="CD14" s="4">
        <v>143.0</v>
      </c>
      <c r="CE14" s="4">
        <v>4.0</v>
      </c>
      <c r="CF14" s="4">
        <v>118.0</v>
      </c>
      <c r="CG14" s="4">
        <v>4.0</v>
      </c>
      <c r="CH14" s="4">
        <v>60.0</v>
      </c>
      <c r="CI14" s="4">
        <v>0.0</v>
      </c>
      <c r="CJ14" s="4">
        <v>0.0</v>
      </c>
      <c r="CK14" s="4">
        <v>0.0</v>
      </c>
      <c r="CL14" s="4">
        <v>0.0</v>
      </c>
      <c r="CM14" s="4">
        <v>0.0</v>
      </c>
      <c r="CN14" s="4">
        <v>0.0</v>
      </c>
      <c r="CO14" s="4">
        <v>0.0</v>
      </c>
      <c r="CP14" s="4">
        <v>0.0</v>
      </c>
      <c r="CQ14" s="4">
        <v>0.0</v>
      </c>
      <c r="CR14" s="4">
        <v>0.0</v>
      </c>
      <c r="CS14" s="4">
        <v>0.0</v>
      </c>
      <c r="CT14" s="4">
        <v>0.0</v>
      </c>
      <c r="CU14" s="4">
        <f t="shared" si="2"/>
        <v>5332</v>
      </c>
      <c r="CV14" s="4">
        <v>654.0</v>
      </c>
      <c r="CW14" s="4">
        <v>286.0</v>
      </c>
      <c r="CX14" s="4">
        <f t="shared" si="3"/>
        <v>940</v>
      </c>
    </row>
    <row r="15">
      <c r="A15" s="4">
        <v>14.0</v>
      </c>
      <c r="B15" s="4" t="s">
        <v>121</v>
      </c>
      <c r="C15" s="4" t="s">
        <v>103</v>
      </c>
      <c r="D15" s="4" t="s">
        <v>118</v>
      </c>
      <c r="E15" s="4">
        <v>2025.0</v>
      </c>
      <c r="F15" s="4">
        <v>17.82</v>
      </c>
      <c r="G15" s="4">
        <v>1661.0</v>
      </c>
      <c r="H15" s="4">
        <v>5520.0</v>
      </c>
      <c r="I15" s="4">
        <v>5040.0</v>
      </c>
      <c r="J15" s="4">
        <v>4740.0</v>
      </c>
      <c r="K15" s="4">
        <v>5550.0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1197.0</v>
      </c>
      <c r="U15" s="4">
        <v>862.0</v>
      </c>
      <c r="V15" s="4">
        <v>0.0</v>
      </c>
      <c r="W15" s="4">
        <v>0.0</v>
      </c>
      <c r="X15" s="4">
        <v>0.0</v>
      </c>
      <c r="Y15" s="4">
        <v>0.0</v>
      </c>
      <c r="Z15" s="8">
        <v>0.0</v>
      </c>
      <c r="AA15" s="8">
        <v>0.0</v>
      </c>
      <c r="AB15" s="8">
        <v>0.0</v>
      </c>
      <c r="AC15" s="8">
        <v>0.0</v>
      </c>
      <c r="AD15" s="8">
        <v>0.0</v>
      </c>
      <c r="AE15" s="8">
        <v>0.0</v>
      </c>
      <c r="AF15" s="6">
        <v>275.0</v>
      </c>
      <c r="AG15" s="6">
        <v>155.0</v>
      </c>
      <c r="AH15" s="6">
        <v>155.0</v>
      </c>
      <c r="AI15" s="6">
        <v>0.0</v>
      </c>
      <c r="AJ15" s="6">
        <v>0.0</v>
      </c>
      <c r="AK15" s="6">
        <v>0.0</v>
      </c>
      <c r="AL15" s="4">
        <f t="shared" si="1"/>
        <v>23494</v>
      </c>
      <c r="AM15" s="4">
        <v>13211.0</v>
      </c>
      <c r="AN15" s="4">
        <v>7431.0</v>
      </c>
      <c r="AO15" s="4">
        <v>20642.0</v>
      </c>
      <c r="AP15" s="4">
        <v>2244.0</v>
      </c>
      <c r="AQ15" s="4">
        <v>17752.0</v>
      </c>
      <c r="AR15" s="4">
        <v>646.0</v>
      </c>
      <c r="AS15" s="4">
        <v>4128.0</v>
      </c>
      <c r="AT15" s="4">
        <v>3922.0</v>
      </c>
      <c r="AU15" s="4">
        <v>45.0</v>
      </c>
      <c r="AV15" s="4">
        <v>1305.0</v>
      </c>
      <c r="AW15" s="4">
        <v>101.0</v>
      </c>
      <c r="AX15" s="4">
        <v>6599.0</v>
      </c>
      <c r="AY15" s="4">
        <v>0.0</v>
      </c>
      <c r="AZ15" s="4">
        <v>0.0</v>
      </c>
      <c r="BA15" s="4">
        <v>0.0</v>
      </c>
      <c r="BB15" s="4">
        <v>0.0</v>
      </c>
      <c r="BC15" s="4">
        <v>0.0</v>
      </c>
      <c r="BD15" s="4">
        <v>0.0</v>
      </c>
      <c r="BE15" s="4">
        <v>0.0</v>
      </c>
      <c r="BF15" s="4">
        <v>0.0</v>
      </c>
      <c r="BG15" s="4">
        <v>0.0</v>
      </c>
      <c r="BH15" s="4">
        <v>0.0</v>
      </c>
      <c r="BI15" s="4">
        <v>0.0</v>
      </c>
      <c r="BJ15" s="4">
        <v>0.0</v>
      </c>
      <c r="BK15" s="4">
        <v>381.0</v>
      </c>
      <c r="BL15" s="4">
        <v>205.0</v>
      </c>
      <c r="BM15" s="4">
        <v>586.0</v>
      </c>
      <c r="BN15" s="4">
        <v>75.0</v>
      </c>
      <c r="BO15" s="4">
        <v>486.0</v>
      </c>
      <c r="BP15" s="4">
        <v>25.0</v>
      </c>
      <c r="BQ15" s="4">
        <v>117.0</v>
      </c>
      <c r="BR15" s="4">
        <v>111.0</v>
      </c>
      <c r="BS15" s="4">
        <v>2.0</v>
      </c>
      <c r="BT15" s="4">
        <v>225.0</v>
      </c>
      <c r="BU15" s="4">
        <v>0.0</v>
      </c>
      <c r="BV15" s="4">
        <v>1.0</v>
      </c>
      <c r="BW15" s="8">
        <v>0.0</v>
      </c>
      <c r="BX15" s="8">
        <v>0.0</v>
      </c>
      <c r="BY15" s="8">
        <v>0.0</v>
      </c>
      <c r="BZ15" s="8">
        <v>0.0</v>
      </c>
      <c r="CA15" s="8">
        <v>0.0</v>
      </c>
      <c r="CB15" s="8">
        <v>0.0</v>
      </c>
      <c r="CC15" s="8">
        <v>0.0</v>
      </c>
      <c r="CD15" s="8">
        <v>0.0</v>
      </c>
      <c r="CE15" s="8">
        <v>0.0</v>
      </c>
      <c r="CF15" s="8">
        <v>0.0</v>
      </c>
      <c r="CG15" s="8">
        <v>0.0</v>
      </c>
      <c r="CH15" s="8">
        <v>0.0</v>
      </c>
      <c r="CI15" s="6">
        <v>268.0</v>
      </c>
      <c r="CJ15" s="6">
        <v>150.0</v>
      </c>
      <c r="CK15" s="6">
        <v>418.0</v>
      </c>
      <c r="CL15" s="6">
        <v>79.0</v>
      </c>
      <c r="CM15" s="6">
        <v>334.0</v>
      </c>
      <c r="CN15" s="6">
        <v>5.0</v>
      </c>
      <c r="CO15" s="6">
        <v>84.0</v>
      </c>
      <c r="CP15" s="6">
        <v>79.0</v>
      </c>
      <c r="CQ15" s="6">
        <v>0.0</v>
      </c>
      <c r="CR15" s="6">
        <v>35.0</v>
      </c>
      <c r="CS15" s="6">
        <v>0.0</v>
      </c>
      <c r="CT15" s="6">
        <v>128.0</v>
      </c>
      <c r="CU15" s="4">
        <f t="shared" si="2"/>
        <v>21646</v>
      </c>
      <c r="CV15" s="4">
        <v>821.0</v>
      </c>
      <c r="CW15" s="4">
        <v>673.0</v>
      </c>
      <c r="CX15" s="4">
        <f t="shared" si="3"/>
        <v>1494</v>
      </c>
    </row>
    <row r="16">
      <c r="A16" s="4">
        <v>15.0</v>
      </c>
      <c r="B16" s="4" t="s">
        <v>122</v>
      </c>
      <c r="C16" s="4" t="s">
        <v>123</v>
      </c>
      <c r="D16" s="4" t="s">
        <v>104</v>
      </c>
      <c r="E16" s="4">
        <v>2025.0</v>
      </c>
      <c r="F16" s="4">
        <v>15.87</v>
      </c>
      <c r="G16" s="4">
        <v>459.0</v>
      </c>
      <c r="H16" s="4">
        <v>1028.0</v>
      </c>
      <c r="I16" s="4">
        <v>1028.0</v>
      </c>
      <c r="J16" s="4">
        <v>1028.0</v>
      </c>
      <c r="K16" s="4">
        <v>1028.0</v>
      </c>
      <c r="L16" s="4">
        <v>0.0</v>
      </c>
      <c r="M16" s="4">
        <v>0.0</v>
      </c>
      <c r="N16" s="4">
        <v>97.0</v>
      </c>
      <c r="O16" s="4">
        <v>97.0</v>
      </c>
      <c r="P16" s="4">
        <v>97.0</v>
      </c>
      <c r="Q16" s="4">
        <v>97.0</v>
      </c>
      <c r="R16" s="4">
        <v>83.0</v>
      </c>
      <c r="S16" s="4">
        <v>0.0</v>
      </c>
      <c r="T16" s="4">
        <v>592.0</v>
      </c>
      <c r="U16" s="4">
        <v>596.0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  <c r="AG16" s="4">
        <v>0.0</v>
      </c>
      <c r="AH16" s="4">
        <v>0.0</v>
      </c>
      <c r="AI16" s="4">
        <v>0.0</v>
      </c>
      <c r="AJ16" s="4">
        <v>0.0</v>
      </c>
      <c r="AK16" s="4">
        <v>0.0</v>
      </c>
      <c r="AL16" s="4">
        <f t="shared" si="1"/>
        <v>5771</v>
      </c>
      <c r="AM16" s="4">
        <v>3119.0</v>
      </c>
      <c r="AN16" s="4">
        <v>772.0</v>
      </c>
      <c r="AO16" s="4">
        <v>3891.0</v>
      </c>
      <c r="AP16" s="4">
        <v>301.0</v>
      </c>
      <c r="AQ16" s="4">
        <v>3590.0</v>
      </c>
      <c r="AR16" s="4">
        <v>0.0</v>
      </c>
      <c r="AS16" s="4">
        <v>408.0</v>
      </c>
      <c r="AT16" s="4">
        <v>1974.0</v>
      </c>
      <c r="AU16" s="4">
        <v>13.0</v>
      </c>
      <c r="AV16" s="4">
        <v>2034.0</v>
      </c>
      <c r="AW16" s="4">
        <v>9.0</v>
      </c>
      <c r="AX16" s="4">
        <v>326.0</v>
      </c>
      <c r="AY16" s="4">
        <v>356.0</v>
      </c>
      <c r="AZ16" s="4">
        <v>83.0</v>
      </c>
      <c r="BA16" s="4">
        <v>439.0</v>
      </c>
      <c r="BB16" s="4">
        <v>28.0</v>
      </c>
      <c r="BC16" s="4">
        <v>411.0</v>
      </c>
      <c r="BD16" s="4">
        <v>0.0</v>
      </c>
      <c r="BE16" s="4">
        <v>41.0</v>
      </c>
      <c r="BF16" s="4">
        <v>208.0</v>
      </c>
      <c r="BG16" s="4">
        <v>1.0</v>
      </c>
      <c r="BH16" s="4">
        <v>215.0</v>
      </c>
      <c r="BI16" s="4">
        <v>0.0</v>
      </c>
      <c r="BJ16" s="4">
        <v>33.0</v>
      </c>
      <c r="BK16" s="4">
        <v>625.0</v>
      </c>
      <c r="BL16" s="4">
        <v>118.0</v>
      </c>
      <c r="BM16" s="4">
        <v>743.0</v>
      </c>
      <c r="BN16" s="4">
        <v>82.0</v>
      </c>
      <c r="BO16" s="4">
        <v>643.0</v>
      </c>
      <c r="BP16" s="4">
        <v>18.0</v>
      </c>
      <c r="BQ16" s="4">
        <v>0.0</v>
      </c>
      <c r="BR16" s="4">
        <v>382.0</v>
      </c>
      <c r="BS16" s="4">
        <v>14.0</v>
      </c>
      <c r="BT16" s="4">
        <v>368.0</v>
      </c>
      <c r="BU16" s="4">
        <v>0.0</v>
      </c>
      <c r="BV16" s="4">
        <v>0.0</v>
      </c>
      <c r="BW16" s="4">
        <v>0.0</v>
      </c>
      <c r="BX16" s="4">
        <v>0.0</v>
      </c>
      <c r="BY16" s="4">
        <v>0.0</v>
      </c>
      <c r="BZ16" s="4">
        <v>0.0</v>
      </c>
      <c r="CA16" s="4">
        <v>0.0</v>
      </c>
      <c r="CB16" s="4">
        <v>0.0</v>
      </c>
      <c r="CC16" s="4">
        <v>0.0</v>
      </c>
      <c r="CD16" s="4">
        <v>0.0</v>
      </c>
      <c r="CE16" s="4">
        <v>0.0</v>
      </c>
      <c r="CF16" s="4">
        <v>0.0</v>
      </c>
      <c r="CG16" s="4">
        <v>0.0</v>
      </c>
      <c r="CH16" s="4">
        <v>0.0</v>
      </c>
      <c r="CI16" s="4">
        <v>0.0</v>
      </c>
      <c r="CJ16" s="4">
        <v>0.0</v>
      </c>
      <c r="CK16" s="4">
        <v>0.0</v>
      </c>
      <c r="CL16" s="4">
        <v>0.0</v>
      </c>
      <c r="CM16" s="4">
        <v>0.0</v>
      </c>
      <c r="CN16" s="4">
        <v>0.0</v>
      </c>
      <c r="CO16" s="4">
        <v>0.0</v>
      </c>
      <c r="CP16" s="4">
        <v>0.0</v>
      </c>
      <c r="CQ16" s="4">
        <v>0.0</v>
      </c>
      <c r="CR16" s="4">
        <v>0.0</v>
      </c>
      <c r="CS16" s="4">
        <v>0.0</v>
      </c>
      <c r="CT16" s="4">
        <v>0.0</v>
      </c>
      <c r="CU16" s="4">
        <f t="shared" si="2"/>
        <v>5073</v>
      </c>
      <c r="CV16" s="4">
        <v>992.0</v>
      </c>
      <c r="CW16" s="4">
        <v>380.0</v>
      </c>
      <c r="CX16" s="4">
        <f t="shared" si="3"/>
        <v>1372</v>
      </c>
    </row>
    <row r="17">
      <c r="A17" s="4">
        <v>16.0</v>
      </c>
      <c r="B17" s="4" t="s">
        <v>124</v>
      </c>
      <c r="C17" s="4" t="s">
        <v>125</v>
      </c>
      <c r="D17" s="4" t="s">
        <v>118</v>
      </c>
      <c r="E17" s="4">
        <v>2025.0</v>
      </c>
      <c r="F17" s="4">
        <v>20.0</v>
      </c>
      <c r="G17" s="4">
        <v>3154.0</v>
      </c>
      <c r="H17" s="4">
        <v>8190.0</v>
      </c>
      <c r="I17" s="4">
        <v>7620.0</v>
      </c>
      <c r="J17" s="4">
        <v>7620.0</v>
      </c>
      <c r="K17" s="4">
        <v>7500.0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  <c r="T17" s="4">
        <v>1320.0</v>
      </c>
      <c r="U17" s="4">
        <v>1563.0</v>
      </c>
      <c r="V17" s="4">
        <v>0.0</v>
      </c>
      <c r="W17" s="4">
        <v>0.0</v>
      </c>
      <c r="X17" s="4">
        <v>0.0</v>
      </c>
      <c r="Y17" s="4">
        <v>0.0</v>
      </c>
      <c r="Z17" s="8">
        <v>0.0</v>
      </c>
      <c r="AA17" s="8">
        <v>0.0</v>
      </c>
      <c r="AB17" s="8">
        <v>0.0</v>
      </c>
      <c r="AC17" s="8">
        <v>0.0</v>
      </c>
      <c r="AD17" s="8">
        <v>0.0</v>
      </c>
      <c r="AE17" s="8">
        <v>0.0</v>
      </c>
      <c r="AF17" s="6">
        <v>1080.0</v>
      </c>
      <c r="AG17" s="6">
        <v>1080.0</v>
      </c>
      <c r="AH17" s="6">
        <v>1080.0</v>
      </c>
      <c r="AI17" s="6">
        <v>1020.0</v>
      </c>
      <c r="AJ17" s="6">
        <v>900.0</v>
      </c>
      <c r="AK17" s="6">
        <v>0.0</v>
      </c>
      <c r="AL17" s="4">
        <f t="shared" si="1"/>
        <v>38973</v>
      </c>
      <c r="AM17" s="4">
        <v>27684.0</v>
      </c>
      <c r="AN17" s="4">
        <v>8273.0</v>
      </c>
      <c r="AO17" s="4">
        <v>35957.0</v>
      </c>
      <c r="AP17" s="4">
        <v>8458.0</v>
      </c>
      <c r="AQ17" s="4">
        <v>26123.0</v>
      </c>
      <c r="AR17" s="4">
        <v>1376.0</v>
      </c>
      <c r="AS17" s="4">
        <v>9646.0</v>
      </c>
      <c r="AT17" s="4">
        <v>11081.0</v>
      </c>
      <c r="AU17" s="4">
        <v>17.0</v>
      </c>
      <c r="AV17" s="4">
        <v>267.0</v>
      </c>
      <c r="AW17" s="4">
        <v>0.0</v>
      </c>
      <c r="AX17" s="4">
        <v>20443.0</v>
      </c>
      <c r="AY17" s="4">
        <v>0.0</v>
      </c>
      <c r="AZ17" s="4">
        <v>0.0</v>
      </c>
      <c r="BA17" s="4">
        <v>0.0</v>
      </c>
      <c r="BB17" s="4">
        <v>0.0</v>
      </c>
      <c r="BC17" s="4">
        <v>0.0</v>
      </c>
      <c r="BD17" s="4">
        <v>0.0</v>
      </c>
      <c r="BE17" s="4">
        <v>0.0</v>
      </c>
      <c r="BF17" s="4">
        <v>0.0</v>
      </c>
      <c r="BG17" s="4">
        <v>0.0</v>
      </c>
      <c r="BH17" s="4">
        <v>0.0</v>
      </c>
      <c r="BI17" s="4">
        <v>0.0</v>
      </c>
      <c r="BJ17" s="4">
        <v>0.0</v>
      </c>
      <c r="BK17" s="4">
        <v>1802.0</v>
      </c>
      <c r="BL17" s="4">
        <v>798.0</v>
      </c>
      <c r="BM17" s="4">
        <v>2600.0</v>
      </c>
      <c r="BN17" s="4">
        <v>895.0</v>
      </c>
      <c r="BO17" s="4">
        <v>1689.0</v>
      </c>
      <c r="BP17" s="4">
        <v>16.0</v>
      </c>
      <c r="BQ17" s="4">
        <v>771.0</v>
      </c>
      <c r="BR17" s="4">
        <v>1347.0</v>
      </c>
      <c r="BS17" s="4">
        <v>214.0</v>
      </c>
      <c r="BT17" s="4">
        <v>0.0</v>
      </c>
      <c r="BU17" s="4">
        <v>0.0</v>
      </c>
      <c r="BV17" s="4">
        <v>1904.0</v>
      </c>
      <c r="BW17" s="4">
        <v>3957.0</v>
      </c>
      <c r="BX17" s="4">
        <v>2351.0</v>
      </c>
      <c r="BY17" s="4">
        <v>6308.0</v>
      </c>
      <c r="BZ17" s="4">
        <v>3575.0</v>
      </c>
      <c r="CA17" s="4">
        <v>2717.0</v>
      </c>
      <c r="CB17" s="4">
        <v>16.0</v>
      </c>
      <c r="CC17" s="4">
        <v>1688.0</v>
      </c>
      <c r="CD17" s="4">
        <v>3820.0</v>
      </c>
      <c r="CE17" s="4">
        <v>0.0</v>
      </c>
      <c r="CF17" s="4">
        <v>35.0</v>
      </c>
      <c r="CG17" s="4">
        <v>0.0</v>
      </c>
      <c r="CH17" s="4">
        <v>5473.0</v>
      </c>
      <c r="CI17" s="4">
        <v>0.0</v>
      </c>
      <c r="CJ17" s="4">
        <v>0.0</v>
      </c>
      <c r="CK17" s="4">
        <v>0.0</v>
      </c>
      <c r="CL17" s="4">
        <v>0.0</v>
      </c>
      <c r="CM17" s="4">
        <v>0.0</v>
      </c>
      <c r="CN17" s="4">
        <v>0.0</v>
      </c>
      <c r="CO17" s="4">
        <v>0.0</v>
      </c>
      <c r="CP17" s="4">
        <v>0.0</v>
      </c>
      <c r="CQ17" s="4">
        <v>0.0</v>
      </c>
      <c r="CR17" s="4">
        <v>0.0</v>
      </c>
      <c r="CS17" s="4">
        <v>0.0</v>
      </c>
      <c r="CT17" s="4">
        <v>0.0</v>
      </c>
      <c r="CU17" s="4">
        <f t="shared" si="2"/>
        <v>44865</v>
      </c>
      <c r="CV17" s="4">
        <v>2432.0</v>
      </c>
      <c r="CW17" s="4">
        <v>480.0</v>
      </c>
      <c r="CX17" s="4">
        <f t="shared" si="3"/>
        <v>2912</v>
      </c>
    </row>
    <row r="18">
      <c r="A18" s="4">
        <v>17.0</v>
      </c>
      <c r="B18" s="4" t="s">
        <v>126</v>
      </c>
      <c r="C18" s="4" t="s">
        <v>127</v>
      </c>
      <c r="D18" s="4" t="s">
        <v>104</v>
      </c>
      <c r="E18" s="4">
        <v>2025.0</v>
      </c>
      <c r="F18" s="4">
        <v>17.5</v>
      </c>
      <c r="G18" s="4">
        <v>316.0</v>
      </c>
      <c r="H18" s="4">
        <v>740.0</v>
      </c>
      <c r="I18" s="4">
        <v>740.0</v>
      </c>
      <c r="J18" s="4">
        <v>740.0</v>
      </c>
      <c r="K18" s="4">
        <v>740.0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579.0</v>
      </c>
      <c r="U18" s="4">
        <v>579.0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0.0</v>
      </c>
      <c r="AG18" s="4">
        <v>0.0</v>
      </c>
      <c r="AH18" s="4">
        <v>0.0</v>
      </c>
      <c r="AI18" s="4">
        <v>0.0</v>
      </c>
      <c r="AJ18" s="4">
        <v>0.0</v>
      </c>
      <c r="AK18" s="4">
        <v>0.0</v>
      </c>
      <c r="AL18" s="4">
        <f t="shared" si="1"/>
        <v>4118</v>
      </c>
      <c r="AM18" s="4">
        <v>3139.0</v>
      </c>
      <c r="AN18" s="4">
        <v>848.0</v>
      </c>
      <c r="AO18" s="4">
        <v>3987.0</v>
      </c>
      <c r="AP18" s="4">
        <v>1827.0</v>
      </c>
      <c r="AQ18" s="4">
        <v>2141.0</v>
      </c>
      <c r="AR18" s="4">
        <v>19.0</v>
      </c>
      <c r="AS18" s="4">
        <v>1098.0</v>
      </c>
      <c r="AT18" s="4">
        <v>1814.0</v>
      </c>
      <c r="AU18" s="4">
        <v>271.0</v>
      </c>
      <c r="AV18" s="4">
        <v>1809.0</v>
      </c>
      <c r="AW18" s="4">
        <v>436.0</v>
      </c>
      <c r="AX18" s="4">
        <v>396.0</v>
      </c>
      <c r="AY18" s="4">
        <v>0.0</v>
      </c>
      <c r="AZ18" s="4">
        <v>0.0</v>
      </c>
      <c r="BA18" s="4">
        <v>0.0</v>
      </c>
      <c r="BB18" s="4">
        <v>0.0</v>
      </c>
      <c r="BC18" s="4">
        <v>0.0</v>
      </c>
      <c r="BD18" s="4">
        <v>0.0</v>
      </c>
      <c r="BE18" s="4">
        <v>0.0</v>
      </c>
      <c r="BF18" s="4">
        <v>0.0</v>
      </c>
      <c r="BG18" s="4">
        <v>0.0</v>
      </c>
      <c r="BH18" s="4">
        <v>0.0</v>
      </c>
      <c r="BI18" s="4">
        <v>0.0</v>
      </c>
      <c r="BJ18" s="4">
        <v>0.0</v>
      </c>
      <c r="BK18" s="4">
        <v>1143.0</v>
      </c>
      <c r="BL18" s="4">
        <v>371.0</v>
      </c>
      <c r="BM18" s="4">
        <v>1514.0</v>
      </c>
      <c r="BN18" s="4">
        <v>223.0</v>
      </c>
      <c r="BO18" s="4">
        <v>1288.0</v>
      </c>
      <c r="BP18" s="4">
        <v>3.0</v>
      </c>
      <c r="BQ18" s="4">
        <v>651.0</v>
      </c>
      <c r="BR18" s="4">
        <v>559.0</v>
      </c>
      <c r="BS18" s="4">
        <v>19.0</v>
      </c>
      <c r="BT18" s="4">
        <v>239.0</v>
      </c>
      <c r="BU18" s="4">
        <v>106.0</v>
      </c>
      <c r="BV18" s="4">
        <v>846.0</v>
      </c>
      <c r="BW18" s="4">
        <v>0.0</v>
      </c>
      <c r="BX18" s="4">
        <v>0.0</v>
      </c>
      <c r="BY18" s="4">
        <v>0.0</v>
      </c>
      <c r="BZ18" s="4">
        <v>0.0</v>
      </c>
      <c r="CA18" s="4">
        <v>0.0</v>
      </c>
      <c r="CB18" s="4">
        <v>0.0</v>
      </c>
      <c r="CC18" s="4">
        <v>0.0</v>
      </c>
      <c r="CD18" s="4">
        <v>0.0</v>
      </c>
      <c r="CE18" s="4">
        <v>0.0</v>
      </c>
      <c r="CF18" s="4">
        <v>0.0</v>
      </c>
      <c r="CG18" s="4">
        <v>0.0</v>
      </c>
      <c r="CH18" s="4">
        <v>0.0</v>
      </c>
      <c r="CI18" s="4">
        <v>0.0</v>
      </c>
      <c r="CJ18" s="4">
        <v>0.0</v>
      </c>
      <c r="CK18" s="4">
        <v>0.0</v>
      </c>
      <c r="CL18" s="4">
        <v>0.0</v>
      </c>
      <c r="CM18" s="4">
        <v>0.0</v>
      </c>
      <c r="CN18" s="4">
        <v>0.0</v>
      </c>
      <c r="CO18" s="4">
        <v>0.0</v>
      </c>
      <c r="CP18" s="4">
        <v>0.0</v>
      </c>
      <c r="CQ18" s="4">
        <v>0.0</v>
      </c>
      <c r="CR18" s="4">
        <v>0.0</v>
      </c>
      <c r="CS18" s="4">
        <v>0.0</v>
      </c>
      <c r="CT18" s="4">
        <v>0.0</v>
      </c>
      <c r="CU18" s="4">
        <f t="shared" si="2"/>
        <v>5501</v>
      </c>
      <c r="CV18" s="4">
        <v>647.0</v>
      </c>
      <c r="CW18" s="4">
        <v>240.0</v>
      </c>
      <c r="CX18" s="4">
        <f t="shared" si="3"/>
        <v>887</v>
      </c>
    </row>
    <row r="19">
      <c r="A19" s="4">
        <v>18.0</v>
      </c>
      <c r="B19" s="4" t="s">
        <v>128</v>
      </c>
      <c r="C19" s="4" t="s">
        <v>129</v>
      </c>
      <c r="D19" s="4" t="s">
        <v>2</v>
      </c>
      <c r="E19" s="4">
        <v>2025.0</v>
      </c>
      <c r="F19" s="4">
        <v>18.25</v>
      </c>
      <c r="G19" s="4">
        <v>461.0</v>
      </c>
      <c r="H19" s="4">
        <v>1150.0</v>
      </c>
      <c r="I19" s="4">
        <v>1150.0</v>
      </c>
      <c r="J19" s="4">
        <v>1150.0</v>
      </c>
      <c r="K19" s="4">
        <v>1150.0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623.0</v>
      </c>
      <c r="U19" s="4">
        <v>547.0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0.0</v>
      </c>
      <c r="AG19" s="4">
        <v>0.0</v>
      </c>
      <c r="AH19" s="4">
        <v>0.0</v>
      </c>
      <c r="AI19" s="4">
        <v>0.0</v>
      </c>
      <c r="AJ19" s="4">
        <v>0.0</v>
      </c>
      <c r="AK19" s="4">
        <v>0.0</v>
      </c>
      <c r="AL19" s="4">
        <f t="shared" si="1"/>
        <v>5770</v>
      </c>
      <c r="AM19" s="4">
        <v>4184.0</v>
      </c>
      <c r="AN19" s="4">
        <v>471.0</v>
      </c>
      <c r="AO19" s="4">
        <v>4655.0</v>
      </c>
      <c r="AP19" s="4">
        <v>3914.0</v>
      </c>
      <c r="AQ19" s="4">
        <v>734.0</v>
      </c>
      <c r="AR19" s="4">
        <v>7.0</v>
      </c>
      <c r="AS19" s="4">
        <v>782.0</v>
      </c>
      <c r="AT19" s="4">
        <v>2064.0</v>
      </c>
      <c r="AU19" s="4">
        <v>2368.0</v>
      </c>
      <c r="AV19" s="4">
        <v>467.0</v>
      </c>
      <c r="AW19" s="4">
        <v>5.0</v>
      </c>
      <c r="AX19" s="4">
        <v>6.0</v>
      </c>
      <c r="AY19" s="4">
        <v>0.0</v>
      </c>
      <c r="AZ19" s="4">
        <v>0.0</v>
      </c>
      <c r="BA19" s="4">
        <v>0.0</v>
      </c>
      <c r="BB19" s="4">
        <v>0.0</v>
      </c>
      <c r="BC19" s="4">
        <v>0.0</v>
      </c>
      <c r="BD19" s="4">
        <v>0.0</v>
      </c>
      <c r="BE19" s="4">
        <v>0.0</v>
      </c>
      <c r="BF19" s="4">
        <v>0.0</v>
      </c>
      <c r="BG19" s="4">
        <v>0.0</v>
      </c>
      <c r="BH19" s="4">
        <v>0.0</v>
      </c>
      <c r="BI19" s="4">
        <v>0.0</v>
      </c>
      <c r="BJ19" s="4">
        <v>0.0</v>
      </c>
      <c r="BK19" s="4">
        <v>779.0</v>
      </c>
      <c r="BL19" s="4">
        <v>229.0</v>
      </c>
      <c r="BM19" s="4">
        <v>1008.0</v>
      </c>
      <c r="BN19" s="4">
        <v>797.0</v>
      </c>
      <c r="BO19" s="4">
        <v>210.0</v>
      </c>
      <c r="BP19" s="4">
        <v>1.0</v>
      </c>
      <c r="BQ19" s="4">
        <v>364.0</v>
      </c>
      <c r="BR19" s="4">
        <v>321.0</v>
      </c>
      <c r="BS19" s="4">
        <v>590.0</v>
      </c>
      <c r="BT19" s="4">
        <v>3.0</v>
      </c>
      <c r="BU19" s="4">
        <v>2.0</v>
      </c>
      <c r="BV19" s="4">
        <v>90.0</v>
      </c>
      <c r="BW19" s="4">
        <v>0.0</v>
      </c>
      <c r="BX19" s="4">
        <v>0.0</v>
      </c>
      <c r="BY19" s="4">
        <v>0.0</v>
      </c>
      <c r="BZ19" s="4">
        <v>0.0</v>
      </c>
      <c r="CA19" s="4">
        <v>0.0</v>
      </c>
      <c r="CB19" s="4">
        <v>0.0</v>
      </c>
      <c r="CC19" s="4">
        <v>0.0</v>
      </c>
      <c r="CD19" s="4">
        <v>0.0</v>
      </c>
      <c r="CE19" s="4">
        <v>0.0</v>
      </c>
      <c r="CF19" s="4">
        <v>0.0</v>
      </c>
      <c r="CG19" s="4">
        <v>0.0</v>
      </c>
      <c r="CH19" s="4">
        <v>0.0</v>
      </c>
      <c r="CI19" s="4">
        <v>0.0</v>
      </c>
      <c r="CJ19" s="4">
        <v>0.0</v>
      </c>
      <c r="CK19" s="4">
        <v>0.0</v>
      </c>
      <c r="CL19" s="4">
        <v>0.0</v>
      </c>
      <c r="CM19" s="4">
        <v>0.0</v>
      </c>
      <c r="CN19" s="4">
        <v>0.0</v>
      </c>
      <c r="CO19" s="4">
        <v>0.0</v>
      </c>
      <c r="CP19" s="4">
        <v>0.0</v>
      </c>
      <c r="CQ19" s="4">
        <v>0.0</v>
      </c>
      <c r="CR19" s="4">
        <v>0.0</v>
      </c>
      <c r="CS19" s="4">
        <v>0.0</v>
      </c>
      <c r="CT19" s="4">
        <v>0.0</v>
      </c>
      <c r="CU19" s="4">
        <f t="shared" si="2"/>
        <v>5663</v>
      </c>
      <c r="CV19" s="4">
        <v>1072.0</v>
      </c>
      <c r="CW19" s="4">
        <v>0.0</v>
      </c>
      <c r="CX19" s="4">
        <f t="shared" si="3"/>
        <v>1072</v>
      </c>
    </row>
    <row r="20">
      <c r="A20" s="4">
        <v>19.0</v>
      </c>
      <c r="B20" s="4" t="s">
        <v>102</v>
      </c>
      <c r="C20" s="4" t="s">
        <v>130</v>
      </c>
      <c r="D20" s="4" t="s">
        <v>104</v>
      </c>
      <c r="E20" s="4">
        <v>2025.0</v>
      </c>
      <c r="F20" s="4">
        <v>12.48</v>
      </c>
      <c r="G20" s="4">
        <v>264.0</v>
      </c>
      <c r="H20" s="4">
        <v>582.0</v>
      </c>
      <c r="I20" s="4">
        <v>582.0</v>
      </c>
      <c r="J20" s="4">
        <v>547.0</v>
      </c>
      <c r="K20" s="4">
        <v>427.0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186.0</v>
      </c>
      <c r="U20" s="4">
        <v>231.0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  <c r="AG20" s="4">
        <v>0.0</v>
      </c>
      <c r="AH20" s="4">
        <v>0.0</v>
      </c>
      <c r="AI20" s="4">
        <v>0.0</v>
      </c>
      <c r="AJ20" s="4">
        <v>0.0</v>
      </c>
      <c r="AK20" s="4">
        <v>0.0</v>
      </c>
      <c r="AL20" s="4">
        <f t="shared" si="1"/>
        <v>2555</v>
      </c>
      <c r="AM20" s="4">
        <v>1633.0</v>
      </c>
      <c r="AN20" s="4">
        <v>364.0</v>
      </c>
      <c r="AO20" s="4">
        <v>1997.0</v>
      </c>
      <c r="AP20" s="4">
        <v>346.0</v>
      </c>
      <c r="AQ20" s="4">
        <v>1649.0</v>
      </c>
      <c r="AR20" s="4">
        <v>2.0</v>
      </c>
      <c r="AS20" s="4">
        <v>381.0</v>
      </c>
      <c r="AT20" s="4">
        <v>1088.0</v>
      </c>
      <c r="AU20" s="4">
        <v>348.0</v>
      </c>
      <c r="AV20" s="4">
        <v>1095.0</v>
      </c>
      <c r="AW20" s="4">
        <v>10.0</v>
      </c>
      <c r="AX20" s="4">
        <v>16.0</v>
      </c>
      <c r="AY20" s="4">
        <v>0.0</v>
      </c>
      <c r="AZ20" s="4">
        <v>0.0</v>
      </c>
      <c r="BA20" s="4">
        <v>0.0</v>
      </c>
      <c r="BB20" s="4">
        <v>0.0</v>
      </c>
      <c r="BC20" s="4">
        <v>0.0</v>
      </c>
      <c r="BD20" s="4">
        <v>0.0</v>
      </c>
      <c r="BE20" s="4">
        <v>0.0</v>
      </c>
      <c r="BF20" s="4">
        <v>0.0</v>
      </c>
      <c r="BG20" s="4">
        <v>0.0</v>
      </c>
      <c r="BH20" s="4">
        <v>0.0</v>
      </c>
      <c r="BI20" s="4">
        <v>0.0</v>
      </c>
      <c r="BJ20" s="4">
        <v>0.0</v>
      </c>
      <c r="BK20" s="4">
        <v>354.0</v>
      </c>
      <c r="BL20" s="4">
        <v>56.0</v>
      </c>
      <c r="BM20" s="4">
        <v>410.0</v>
      </c>
      <c r="BN20" s="4">
        <v>163.0</v>
      </c>
      <c r="BO20" s="4">
        <v>246.0</v>
      </c>
      <c r="BP20" s="4">
        <v>1.0</v>
      </c>
      <c r="BQ20" s="4">
        <v>44.0</v>
      </c>
      <c r="BR20" s="4">
        <v>276.0</v>
      </c>
      <c r="BS20" s="4">
        <v>213.0</v>
      </c>
      <c r="BT20" s="4">
        <v>93.0</v>
      </c>
      <c r="BU20" s="4">
        <v>9.0</v>
      </c>
      <c r="BV20" s="4">
        <v>5.0</v>
      </c>
      <c r="BW20" s="4">
        <v>0.0</v>
      </c>
      <c r="BX20" s="4">
        <v>0.0</v>
      </c>
      <c r="BY20" s="4">
        <v>0.0</v>
      </c>
      <c r="BZ20" s="4">
        <v>0.0</v>
      </c>
      <c r="CA20" s="4">
        <v>0.0</v>
      </c>
      <c r="CB20" s="4">
        <v>0.0</v>
      </c>
      <c r="CC20" s="4">
        <v>0.0</v>
      </c>
      <c r="CD20" s="4">
        <v>0.0</v>
      </c>
      <c r="CE20" s="4">
        <v>0.0</v>
      </c>
      <c r="CF20" s="4">
        <v>0.0</v>
      </c>
      <c r="CG20" s="4">
        <v>0.0</v>
      </c>
      <c r="CH20" s="4">
        <v>0.0</v>
      </c>
      <c r="CI20" s="4">
        <v>0.0</v>
      </c>
      <c r="CJ20" s="4">
        <v>0.0</v>
      </c>
      <c r="CK20" s="4">
        <v>0.0</v>
      </c>
      <c r="CL20" s="4">
        <v>0.0</v>
      </c>
      <c r="CM20" s="4">
        <v>0.0</v>
      </c>
      <c r="CN20" s="4">
        <v>0.0</v>
      </c>
      <c r="CO20" s="4">
        <v>0.0</v>
      </c>
      <c r="CP20" s="4">
        <v>0.0</v>
      </c>
      <c r="CQ20" s="4">
        <v>0.0</v>
      </c>
      <c r="CR20" s="4">
        <v>0.0</v>
      </c>
      <c r="CS20" s="4">
        <v>0.0</v>
      </c>
      <c r="CT20" s="4">
        <v>0.0</v>
      </c>
      <c r="CU20" s="4">
        <f t="shared" si="2"/>
        <v>2407</v>
      </c>
      <c r="CV20" s="4">
        <v>636.0</v>
      </c>
      <c r="CW20" s="4">
        <v>106.0</v>
      </c>
      <c r="CX20" s="4">
        <f t="shared" si="3"/>
        <v>742</v>
      </c>
    </row>
    <row r="21">
      <c r="A21" s="4">
        <v>20.0</v>
      </c>
      <c r="B21" s="4" t="s">
        <v>131</v>
      </c>
      <c r="C21" s="4" t="s">
        <v>103</v>
      </c>
      <c r="D21" s="4" t="s">
        <v>2</v>
      </c>
      <c r="E21" s="4">
        <v>2025.0</v>
      </c>
      <c r="F21" s="4">
        <v>17.86</v>
      </c>
      <c r="G21" s="4">
        <v>809.0</v>
      </c>
      <c r="H21" s="4">
        <v>2380.0</v>
      </c>
      <c r="I21" s="4">
        <v>2380.0</v>
      </c>
      <c r="J21" s="4">
        <v>2290.0</v>
      </c>
      <c r="K21" s="4">
        <v>2470.0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1227.0</v>
      </c>
      <c r="U21" s="4">
        <v>1450.0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0.0</v>
      </c>
      <c r="AG21" s="4">
        <v>0.0</v>
      </c>
      <c r="AH21" s="4">
        <v>0.0</v>
      </c>
      <c r="AI21" s="4">
        <v>0.0</v>
      </c>
      <c r="AJ21" s="4">
        <v>0.0</v>
      </c>
      <c r="AK21" s="4">
        <v>0.0</v>
      </c>
      <c r="AL21" s="4">
        <f t="shared" si="1"/>
        <v>12197</v>
      </c>
      <c r="AM21" s="4">
        <v>5610.0</v>
      </c>
      <c r="AN21" s="4">
        <v>3524.0</v>
      </c>
      <c r="AO21" s="4">
        <v>9134.0</v>
      </c>
      <c r="AP21" s="4">
        <v>8893.0</v>
      </c>
      <c r="AQ21" s="4">
        <v>160.0</v>
      </c>
      <c r="AR21" s="4">
        <v>81.0</v>
      </c>
      <c r="AS21" s="4">
        <v>376.0</v>
      </c>
      <c r="AT21" s="4">
        <v>8020.0</v>
      </c>
      <c r="AU21" s="4">
        <v>1240.0</v>
      </c>
      <c r="AV21" s="4">
        <v>2243.0</v>
      </c>
      <c r="AW21" s="4">
        <v>387.0</v>
      </c>
      <c r="AX21" s="4">
        <v>4526.0</v>
      </c>
      <c r="AY21" s="4">
        <v>0.0</v>
      </c>
      <c r="AZ21" s="4">
        <v>0.0</v>
      </c>
      <c r="BA21" s="4">
        <v>0.0</v>
      </c>
      <c r="BB21" s="4">
        <v>0.0</v>
      </c>
      <c r="BC21" s="4">
        <v>0.0</v>
      </c>
      <c r="BD21" s="4">
        <v>0.0</v>
      </c>
      <c r="BE21" s="4">
        <v>0.0</v>
      </c>
      <c r="BF21" s="4">
        <v>0.0</v>
      </c>
      <c r="BG21" s="4">
        <v>0.0</v>
      </c>
      <c r="BH21" s="4">
        <v>0.0</v>
      </c>
      <c r="BI21" s="4">
        <v>0.0</v>
      </c>
      <c r="BJ21" s="4">
        <v>0.0</v>
      </c>
      <c r="BK21" s="4">
        <v>745.0</v>
      </c>
      <c r="BL21" s="4">
        <v>579.0</v>
      </c>
      <c r="BM21" s="4">
        <v>1324.0</v>
      </c>
      <c r="BN21" s="4">
        <v>1279.0</v>
      </c>
      <c r="BO21" s="4">
        <v>44.0</v>
      </c>
      <c r="BP21" s="4">
        <v>1.0</v>
      </c>
      <c r="BQ21" s="4">
        <v>90.0</v>
      </c>
      <c r="BR21" s="4">
        <v>1195.0</v>
      </c>
      <c r="BS21" s="4">
        <v>294.0</v>
      </c>
      <c r="BT21" s="4">
        <v>414.0</v>
      </c>
      <c r="BU21" s="4">
        <v>2.0</v>
      </c>
      <c r="BV21" s="4">
        <v>575.0</v>
      </c>
      <c r="BW21" s="4">
        <v>0.0</v>
      </c>
      <c r="BX21" s="4">
        <v>0.0</v>
      </c>
      <c r="BY21" s="4">
        <v>0.0</v>
      </c>
      <c r="BZ21" s="4">
        <v>0.0</v>
      </c>
      <c r="CA21" s="4">
        <v>0.0</v>
      </c>
      <c r="CB21" s="4">
        <v>0.0</v>
      </c>
      <c r="CC21" s="4">
        <v>0.0</v>
      </c>
      <c r="CD21" s="4">
        <v>0.0</v>
      </c>
      <c r="CE21" s="4">
        <v>0.0</v>
      </c>
      <c r="CF21" s="4">
        <v>0.0</v>
      </c>
      <c r="CG21" s="4">
        <v>0.0</v>
      </c>
      <c r="CH21" s="4">
        <v>0.0</v>
      </c>
      <c r="CI21" s="4">
        <v>0.0</v>
      </c>
      <c r="CJ21" s="4">
        <v>0.0</v>
      </c>
      <c r="CK21" s="4">
        <v>0.0</v>
      </c>
      <c r="CL21" s="4">
        <v>0.0</v>
      </c>
      <c r="CM21" s="4">
        <v>0.0</v>
      </c>
      <c r="CN21" s="4">
        <v>0.0</v>
      </c>
      <c r="CO21" s="4">
        <v>0.0</v>
      </c>
      <c r="CP21" s="4">
        <v>0.0</v>
      </c>
      <c r="CQ21" s="4">
        <v>0.0</v>
      </c>
      <c r="CR21" s="4">
        <v>0.0</v>
      </c>
      <c r="CS21" s="4">
        <v>0.0</v>
      </c>
      <c r="CT21" s="4">
        <v>0.0</v>
      </c>
      <c r="CU21" s="4">
        <f t="shared" si="2"/>
        <v>10458</v>
      </c>
      <c r="CV21" s="4">
        <v>1113.0</v>
      </c>
      <c r="CW21" s="4">
        <v>623.0</v>
      </c>
      <c r="CX21" s="4">
        <f t="shared" si="3"/>
        <v>1736</v>
      </c>
    </row>
    <row r="22">
      <c r="A22" s="4">
        <v>21.0</v>
      </c>
      <c r="B22" s="4" t="s">
        <v>132</v>
      </c>
      <c r="C22" s="4" t="s">
        <v>133</v>
      </c>
      <c r="D22" s="4" t="s">
        <v>104</v>
      </c>
      <c r="E22" s="4">
        <v>2025.0</v>
      </c>
      <c r="F22" s="4">
        <v>16.0</v>
      </c>
      <c r="G22" s="4">
        <v>361.0</v>
      </c>
      <c r="H22" s="4">
        <v>920.0</v>
      </c>
      <c r="I22" s="4">
        <v>920.0</v>
      </c>
      <c r="J22" s="4">
        <v>920.0</v>
      </c>
      <c r="K22" s="4">
        <v>920.0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430.0</v>
      </c>
      <c r="U22" s="4">
        <v>430.0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0.0</v>
      </c>
      <c r="AG22" s="4">
        <v>0.0</v>
      </c>
      <c r="AH22" s="4">
        <v>0.0</v>
      </c>
      <c r="AI22" s="4">
        <v>0.0</v>
      </c>
      <c r="AJ22" s="4">
        <v>0.0</v>
      </c>
      <c r="AK22" s="4">
        <v>0.0</v>
      </c>
      <c r="AL22" s="4">
        <f t="shared" si="1"/>
        <v>4540</v>
      </c>
      <c r="AM22" s="4">
        <v>2961.0</v>
      </c>
      <c r="AN22" s="4">
        <v>912.0</v>
      </c>
      <c r="AO22" s="4">
        <v>3873.0</v>
      </c>
      <c r="AP22" s="4">
        <v>1822.0</v>
      </c>
      <c r="AQ22" s="4">
        <v>2018.0</v>
      </c>
      <c r="AR22" s="4">
        <v>33.0</v>
      </c>
      <c r="AS22" s="4">
        <v>991.0</v>
      </c>
      <c r="AT22" s="4">
        <v>2107.0</v>
      </c>
      <c r="AU22" s="4">
        <v>990.0</v>
      </c>
      <c r="AV22" s="4">
        <v>1961.0</v>
      </c>
      <c r="AW22" s="4">
        <v>46.0</v>
      </c>
      <c r="AX22" s="4">
        <v>101.0</v>
      </c>
      <c r="AY22" s="4">
        <v>0.0</v>
      </c>
      <c r="AZ22" s="4">
        <v>0.0</v>
      </c>
      <c r="BA22" s="4">
        <v>0.0</v>
      </c>
      <c r="BB22" s="4">
        <v>0.0</v>
      </c>
      <c r="BC22" s="4">
        <v>0.0</v>
      </c>
      <c r="BD22" s="4">
        <v>0.0</v>
      </c>
      <c r="BE22" s="4">
        <v>0.0</v>
      </c>
      <c r="BF22" s="4">
        <v>0.0</v>
      </c>
      <c r="BG22" s="4">
        <v>0.0</v>
      </c>
      <c r="BH22" s="4">
        <v>0.0</v>
      </c>
      <c r="BI22" s="4">
        <v>0.0</v>
      </c>
      <c r="BJ22" s="4">
        <v>0.0</v>
      </c>
      <c r="BK22" s="4">
        <v>626.0</v>
      </c>
      <c r="BL22" s="4">
        <v>246.0</v>
      </c>
      <c r="BM22" s="4">
        <v>872.0</v>
      </c>
      <c r="BN22" s="4">
        <v>350.0</v>
      </c>
      <c r="BO22" s="4">
        <v>521.0</v>
      </c>
      <c r="BP22" s="4">
        <v>1.0</v>
      </c>
      <c r="BQ22" s="4">
        <v>67.0</v>
      </c>
      <c r="BR22" s="4">
        <v>496.0</v>
      </c>
      <c r="BS22" s="4">
        <v>14.0</v>
      </c>
      <c r="BT22" s="4">
        <v>537.0</v>
      </c>
      <c r="BU22" s="4">
        <v>12.0</v>
      </c>
      <c r="BV22" s="4">
        <v>0.0</v>
      </c>
      <c r="BW22" s="4">
        <v>0.0</v>
      </c>
      <c r="BX22" s="4">
        <v>0.0</v>
      </c>
      <c r="BY22" s="4">
        <v>0.0</v>
      </c>
      <c r="BZ22" s="4">
        <v>0.0</v>
      </c>
      <c r="CA22" s="4">
        <v>0.0</v>
      </c>
      <c r="CB22" s="4">
        <v>0.0</v>
      </c>
      <c r="CC22" s="4">
        <v>0.0</v>
      </c>
      <c r="CD22" s="4">
        <v>0.0</v>
      </c>
      <c r="CE22" s="4">
        <v>0.0</v>
      </c>
      <c r="CF22" s="4">
        <v>0.0</v>
      </c>
      <c r="CG22" s="4">
        <v>0.0</v>
      </c>
      <c r="CH22" s="4">
        <v>0.0</v>
      </c>
      <c r="CI22" s="4">
        <v>0.0</v>
      </c>
      <c r="CJ22" s="4">
        <v>0.0</v>
      </c>
      <c r="CK22" s="4">
        <v>0.0</v>
      </c>
      <c r="CL22" s="4">
        <v>0.0</v>
      </c>
      <c r="CM22" s="4">
        <v>0.0</v>
      </c>
      <c r="CN22" s="4">
        <v>0.0</v>
      </c>
      <c r="CO22" s="4">
        <v>0.0</v>
      </c>
      <c r="CP22" s="4">
        <v>0.0</v>
      </c>
      <c r="CQ22" s="4">
        <v>0.0</v>
      </c>
      <c r="CR22" s="4">
        <v>0.0</v>
      </c>
      <c r="CS22" s="4">
        <v>0.0</v>
      </c>
      <c r="CT22" s="4">
        <v>0.0</v>
      </c>
      <c r="CU22" s="4">
        <f t="shared" si="2"/>
        <v>4745</v>
      </c>
      <c r="CV22" s="4">
        <v>810.0</v>
      </c>
      <c r="CW22" s="4">
        <v>33.0</v>
      </c>
      <c r="CX22" s="4">
        <f t="shared" si="3"/>
        <v>843</v>
      </c>
    </row>
    <row r="23">
      <c r="A23" s="4">
        <v>22.0</v>
      </c>
      <c r="B23" s="4" t="s">
        <v>134</v>
      </c>
      <c r="C23" s="4" t="s">
        <v>135</v>
      </c>
      <c r="D23" s="4" t="s">
        <v>118</v>
      </c>
      <c r="E23" s="4">
        <v>2025.0</v>
      </c>
      <c r="F23" s="4">
        <v>19.0</v>
      </c>
      <c r="G23" s="4">
        <v>709.0</v>
      </c>
      <c r="H23" s="4">
        <v>3180.0</v>
      </c>
      <c r="I23" s="4">
        <v>2460.0</v>
      </c>
      <c r="J23" s="4">
        <v>2160.0</v>
      </c>
      <c r="K23" s="4">
        <v>1860.0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90.0</v>
      </c>
      <c r="U23" s="4">
        <v>90.0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0.0</v>
      </c>
      <c r="AG23" s="4">
        <v>0.0</v>
      </c>
      <c r="AH23" s="4">
        <v>0.0</v>
      </c>
      <c r="AI23" s="4">
        <v>0.0</v>
      </c>
      <c r="AJ23" s="4">
        <v>0.0</v>
      </c>
      <c r="AK23" s="4">
        <v>0.0</v>
      </c>
      <c r="AL23" s="4">
        <f t="shared" si="1"/>
        <v>9840</v>
      </c>
      <c r="AM23" s="4">
        <v>4204.0</v>
      </c>
      <c r="AN23" s="4">
        <v>5756.0</v>
      </c>
      <c r="AO23" s="4">
        <v>9960.0</v>
      </c>
      <c r="AP23" s="4">
        <v>1532.0</v>
      </c>
      <c r="AQ23" s="4">
        <v>8342.0</v>
      </c>
      <c r="AR23" s="4">
        <v>86.0</v>
      </c>
      <c r="AS23" s="4">
        <v>859.0</v>
      </c>
      <c r="AT23" s="4">
        <v>1851.0</v>
      </c>
      <c r="AU23" s="4">
        <v>3.0</v>
      </c>
      <c r="AV23" s="4">
        <v>869.0</v>
      </c>
      <c r="AW23" s="4">
        <v>0.0</v>
      </c>
      <c r="AX23" s="4">
        <v>1838.0</v>
      </c>
      <c r="AY23" s="4">
        <v>0.0</v>
      </c>
      <c r="AZ23" s="4">
        <v>0.0</v>
      </c>
      <c r="BA23" s="4">
        <v>0.0</v>
      </c>
      <c r="BB23" s="4">
        <v>0.0</v>
      </c>
      <c r="BC23" s="4">
        <v>0.0</v>
      </c>
      <c r="BD23" s="4">
        <v>0.0</v>
      </c>
      <c r="BE23" s="4">
        <v>0.0</v>
      </c>
      <c r="BF23" s="4">
        <v>0.0</v>
      </c>
      <c r="BG23" s="4">
        <v>0.0</v>
      </c>
      <c r="BH23" s="4">
        <v>0.0</v>
      </c>
      <c r="BI23" s="4">
        <v>0.0</v>
      </c>
      <c r="BJ23" s="4">
        <v>0.0</v>
      </c>
      <c r="BK23" s="4">
        <v>53.0</v>
      </c>
      <c r="BL23" s="4">
        <v>72.0</v>
      </c>
      <c r="BM23" s="4">
        <v>125.0</v>
      </c>
      <c r="BN23" s="4">
        <v>21.0</v>
      </c>
      <c r="BO23" s="4">
        <v>94.0</v>
      </c>
      <c r="BP23" s="4">
        <v>10.0</v>
      </c>
      <c r="BQ23" s="4">
        <v>8.0</v>
      </c>
      <c r="BR23" s="4">
        <v>18.0</v>
      </c>
      <c r="BS23" s="4">
        <v>1.0</v>
      </c>
      <c r="BT23" s="4">
        <v>3.0</v>
      </c>
      <c r="BU23" s="4">
        <v>0.0</v>
      </c>
      <c r="BV23" s="4">
        <v>22.0</v>
      </c>
      <c r="BW23" s="4">
        <v>0.0</v>
      </c>
      <c r="BX23" s="4">
        <v>0.0</v>
      </c>
      <c r="BY23" s="4">
        <v>0.0</v>
      </c>
      <c r="BZ23" s="4">
        <v>0.0</v>
      </c>
      <c r="CA23" s="4">
        <v>0.0</v>
      </c>
      <c r="CB23" s="4">
        <v>0.0</v>
      </c>
      <c r="CC23" s="4">
        <v>0.0</v>
      </c>
      <c r="CD23" s="4">
        <v>0.0</v>
      </c>
      <c r="CE23" s="4">
        <v>0.0</v>
      </c>
      <c r="CF23" s="4">
        <v>0.0</v>
      </c>
      <c r="CG23" s="4">
        <v>0.0</v>
      </c>
      <c r="CH23" s="4">
        <v>0.0</v>
      </c>
      <c r="CI23" s="4">
        <v>0.0</v>
      </c>
      <c r="CJ23" s="4">
        <v>0.0</v>
      </c>
      <c r="CK23" s="4">
        <v>0.0</v>
      </c>
      <c r="CL23" s="4">
        <v>0.0</v>
      </c>
      <c r="CM23" s="4">
        <v>0.0</v>
      </c>
      <c r="CN23" s="4">
        <v>0.0</v>
      </c>
      <c r="CO23" s="4">
        <v>0.0</v>
      </c>
      <c r="CP23" s="4">
        <v>0.0</v>
      </c>
      <c r="CQ23" s="4">
        <v>0.0</v>
      </c>
      <c r="CR23" s="4">
        <v>0.0</v>
      </c>
      <c r="CS23" s="4">
        <v>0.0</v>
      </c>
      <c r="CT23" s="4">
        <v>0.0</v>
      </c>
      <c r="CU23" s="4">
        <f t="shared" si="2"/>
        <v>10085</v>
      </c>
      <c r="CV23" s="4">
        <v>695.0</v>
      </c>
      <c r="CW23" s="4">
        <v>74.0</v>
      </c>
      <c r="CX23" s="4">
        <f t="shared" si="3"/>
        <v>769</v>
      </c>
    </row>
    <row r="24">
      <c r="A24" s="6">
        <v>23.0</v>
      </c>
      <c r="B24" s="6" t="s">
        <v>136</v>
      </c>
      <c r="C24" s="6" t="s">
        <v>137</v>
      </c>
      <c r="D24" s="6" t="s">
        <v>118</v>
      </c>
      <c r="E24" s="6">
        <v>2025.0</v>
      </c>
      <c r="F24" s="6">
        <v>18.0</v>
      </c>
      <c r="G24" s="6">
        <v>1077.0</v>
      </c>
      <c r="H24" s="6">
        <v>3990.0</v>
      </c>
      <c r="I24" s="6">
        <v>3180.0</v>
      </c>
      <c r="J24" s="6">
        <v>3240.0</v>
      </c>
      <c r="K24" s="6">
        <v>2580.0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0.0</v>
      </c>
      <c r="R24" s="6">
        <v>0.0</v>
      </c>
      <c r="S24" s="6">
        <v>0.0</v>
      </c>
      <c r="T24" s="6">
        <v>744.0</v>
      </c>
      <c r="U24" s="6">
        <v>800.0</v>
      </c>
      <c r="V24" s="6">
        <v>0.0</v>
      </c>
      <c r="W24" s="6">
        <v>0.0</v>
      </c>
      <c r="X24" s="6">
        <v>0.0</v>
      </c>
      <c r="Y24" s="6">
        <v>0.0</v>
      </c>
      <c r="Z24" s="6">
        <v>0.0</v>
      </c>
      <c r="AA24" s="6">
        <v>0.0</v>
      </c>
      <c r="AB24" s="6">
        <v>0.0</v>
      </c>
      <c r="AC24" s="6">
        <v>0.0</v>
      </c>
      <c r="AD24" s="6">
        <v>0.0</v>
      </c>
      <c r="AE24" s="6">
        <v>0.0</v>
      </c>
      <c r="AF24" s="6">
        <v>0.0</v>
      </c>
      <c r="AG24" s="6">
        <v>0.0</v>
      </c>
      <c r="AH24" s="6">
        <v>0.0</v>
      </c>
      <c r="AI24" s="6">
        <v>0.0</v>
      </c>
      <c r="AJ24" s="6">
        <v>0.0</v>
      </c>
      <c r="AK24" s="6">
        <v>0.0</v>
      </c>
      <c r="AL24" s="6">
        <f t="shared" si="1"/>
        <v>14534</v>
      </c>
      <c r="AM24" s="6">
        <v>10484.0</v>
      </c>
      <c r="AN24" s="6">
        <v>3561.0</v>
      </c>
      <c r="AO24" s="6">
        <v>14045.0</v>
      </c>
      <c r="AP24" s="6">
        <v>4147.0</v>
      </c>
      <c r="AQ24" s="6">
        <v>9471.0</v>
      </c>
      <c r="AR24" s="6">
        <v>427.0</v>
      </c>
      <c r="AS24" s="6">
        <v>2618.0</v>
      </c>
      <c r="AT24" s="6">
        <v>2844.0</v>
      </c>
      <c r="AU24" s="6">
        <v>12.0</v>
      </c>
      <c r="AV24" s="6">
        <v>2949.0</v>
      </c>
      <c r="AW24" s="6">
        <v>0.0</v>
      </c>
      <c r="AX24" s="6">
        <v>2501.0</v>
      </c>
      <c r="AY24" s="6">
        <v>0.0</v>
      </c>
      <c r="AZ24" s="6">
        <v>0.0</v>
      </c>
      <c r="BA24" s="6">
        <v>0.0</v>
      </c>
      <c r="BB24" s="6">
        <v>0.0</v>
      </c>
      <c r="BC24" s="6">
        <v>0.0</v>
      </c>
      <c r="BD24" s="6">
        <v>0.0</v>
      </c>
      <c r="BE24" s="6">
        <v>0.0</v>
      </c>
      <c r="BF24" s="6">
        <v>0.0</v>
      </c>
      <c r="BG24" s="6">
        <v>0.0</v>
      </c>
      <c r="BH24" s="6">
        <v>0.0</v>
      </c>
      <c r="BI24" s="6">
        <v>0.0</v>
      </c>
      <c r="BJ24" s="6">
        <v>0.0</v>
      </c>
      <c r="BK24" s="6">
        <v>511.0</v>
      </c>
      <c r="BL24" s="6">
        <v>230.0</v>
      </c>
      <c r="BM24" s="6">
        <v>741.0</v>
      </c>
      <c r="BN24" s="6">
        <v>182.0</v>
      </c>
      <c r="BO24" s="6">
        <v>520.0</v>
      </c>
      <c r="BP24" s="6">
        <v>39.0</v>
      </c>
      <c r="BQ24" s="6">
        <v>209.0</v>
      </c>
      <c r="BR24" s="6">
        <v>129.0</v>
      </c>
      <c r="BS24" s="6">
        <v>0.0</v>
      </c>
      <c r="BT24" s="6">
        <v>183.0</v>
      </c>
      <c r="BU24" s="6">
        <v>5.0</v>
      </c>
      <c r="BV24" s="6">
        <v>150.0</v>
      </c>
      <c r="BW24" s="6">
        <v>0.0</v>
      </c>
      <c r="BX24" s="6">
        <v>0.0</v>
      </c>
      <c r="BY24" s="6">
        <v>0.0</v>
      </c>
      <c r="BZ24" s="6">
        <v>0.0</v>
      </c>
      <c r="CA24" s="6">
        <v>0.0</v>
      </c>
      <c r="CB24" s="6">
        <v>0.0</v>
      </c>
      <c r="CC24" s="6">
        <v>0.0</v>
      </c>
      <c r="CD24" s="6">
        <v>0.0</v>
      </c>
      <c r="CE24" s="6">
        <v>0.0</v>
      </c>
      <c r="CF24" s="6">
        <v>0.0</v>
      </c>
      <c r="CG24" s="6">
        <v>0.0</v>
      </c>
      <c r="CH24" s="6">
        <v>0.0</v>
      </c>
      <c r="CI24" s="6">
        <v>0.0</v>
      </c>
      <c r="CJ24" s="6">
        <v>0.0</v>
      </c>
      <c r="CK24" s="6">
        <v>0.0</v>
      </c>
      <c r="CL24" s="6">
        <v>0.0</v>
      </c>
      <c r="CM24" s="6">
        <v>0.0</v>
      </c>
      <c r="CN24" s="6">
        <v>0.0</v>
      </c>
      <c r="CO24" s="6">
        <v>0.0</v>
      </c>
      <c r="CP24" s="6">
        <v>0.0</v>
      </c>
      <c r="CQ24" s="6">
        <v>0.0</v>
      </c>
      <c r="CR24" s="6">
        <v>0.0</v>
      </c>
      <c r="CS24" s="6">
        <v>0.0</v>
      </c>
      <c r="CT24" s="6">
        <v>0.0</v>
      </c>
      <c r="CU24" s="4">
        <f t="shared" si="2"/>
        <v>14786</v>
      </c>
      <c r="CV24" s="6">
        <v>376.0</v>
      </c>
      <c r="CW24" s="6">
        <v>734.0</v>
      </c>
      <c r="CX24" s="6">
        <f t="shared" si="3"/>
        <v>1110</v>
      </c>
    </row>
    <row r="25">
      <c r="A25" s="4">
        <v>24.0</v>
      </c>
      <c r="B25" s="4" t="s">
        <v>138</v>
      </c>
      <c r="C25" s="4" t="s">
        <v>105</v>
      </c>
      <c r="D25" s="4" t="s">
        <v>139</v>
      </c>
      <c r="E25" s="4">
        <v>2025.0</v>
      </c>
      <c r="F25" s="4">
        <v>10.5</v>
      </c>
      <c r="G25" s="4">
        <v>131.0</v>
      </c>
      <c r="H25" s="4">
        <v>350.0</v>
      </c>
      <c r="I25" s="4">
        <v>350.0</v>
      </c>
      <c r="J25" s="4">
        <v>350.0</v>
      </c>
      <c r="K25" s="4">
        <v>350.0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  <c r="T25" s="4">
        <v>174.0</v>
      </c>
      <c r="U25" s="4">
        <v>174.0</v>
      </c>
      <c r="V25" s="4">
        <v>0.0</v>
      </c>
      <c r="W25" s="4">
        <v>0.0</v>
      </c>
      <c r="X25" s="4">
        <v>0.0</v>
      </c>
      <c r="Y25" s="4">
        <v>0.0</v>
      </c>
      <c r="Z25" s="4">
        <v>0.0</v>
      </c>
      <c r="AA25" s="4">
        <v>0.0</v>
      </c>
      <c r="AB25" s="4">
        <v>0.0</v>
      </c>
      <c r="AC25" s="4">
        <v>0.0</v>
      </c>
      <c r="AD25" s="4">
        <v>0.0</v>
      </c>
      <c r="AE25" s="4">
        <v>0.0</v>
      </c>
      <c r="AF25" s="4">
        <v>0.0</v>
      </c>
      <c r="AG25" s="4">
        <v>0.0</v>
      </c>
      <c r="AH25" s="4">
        <v>0.0</v>
      </c>
      <c r="AI25" s="4">
        <v>0.0</v>
      </c>
      <c r="AJ25" s="4">
        <v>0.0</v>
      </c>
      <c r="AK25" s="4">
        <v>0.0</v>
      </c>
      <c r="AL25" s="4">
        <f t="shared" si="1"/>
        <v>1748</v>
      </c>
      <c r="AM25" s="4">
        <v>1061.0</v>
      </c>
      <c r="AN25" s="4">
        <v>343.0</v>
      </c>
      <c r="AO25" s="4">
        <v>1404.0</v>
      </c>
      <c r="AP25" s="4">
        <v>128.0</v>
      </c>
      <c r="AQ25" s="4">
        <v>1150.0</v>
      </c>
      <c r="AR25" s="4">
        <v>126.0</v>
      </c>
      <c r="AS25" s="4">
        <v>1131.0</v>
      </c>
      <c r="AT25" s="4">
        <v>147.0</v>
      </c>
      <c r="AU25" s="4">
        <v>959.0</v>
      </c>
      <c r="AV25" s="4">
        <v>284.0</v>
      </c>
      <c r="AW25" s="4">
        <v>28.0</v>
      </c>
      <c r="AX25" s="4">
        <v>7.0</v>
      </c>
      <c r="AY25" s="4">
        <v>0.0</v>
      </c>
      <c r="AZ25" s="4">
        <v>0.0</v>
      </c>
      <c r="BA25" s="4">
        <v>0.0</v>
      </c>
      <c r="BB25" s="4">
        <v>0.0</v>
      </c>
      <c r="BC25" s="4">
        <v>0.0</v>
      </c>
      <c r="BD25" s="4">
        <v>0.0</v>
      </c>
      <c r="BE25" s="4">
        <v>0.0</v>
      </c>
      <c r="BF25" s="4">
        <v>0.0</v>
      </c>
      <c r="BG25" s="4">
        <v>0.0</v>
      </c>
      <c r="BH25" s="4">
        <v>0.0</v>
      </c>
      <c r="BI25" s="4">
        <v>0.0</v>
      </c>
      <c r="BJ25" s="4">
        <v>0.0</v>
      </c>
      <c r="BK25" s="4">
        <v>182.0</v>
      </c>
      <c r="BL25" s="4">
        <v>164.0</v>
      </c>
      <c r="BM25" s="4">
        <v>346.0</v>
      </c>
      <c r="BN25" s="4">
        <v>31.0</v>
      </c>
      <c r="BO25" s="4">
        <v>308.0</v>
      </c>
      <c r="BP25" s="4">
        <v>7.0</v>
      </c>
      <c r="BQ25" s="4">
        <v>257.0</v>
      </c>
      <c r="BR25" s="4">
        <v>47.0</v>
      </c>
      <c r="BS25" s="4">
        <v>148.0</v>
      </c>
      <c r="BT25" s="4">
        <v>138.0</v>
      </c>
      <c r="BU25" s="4">
        <v>13.0</v>
      </c>
      <c r="BV25" s="4">
        <v>5.0</v>
      </c>
      <c r="BW25" s="4">
        <v>0.0</v>
      </c>
      <c r="BX25" s="4">
        <v>0.0</v>
      </c>
      <c r="BY25" s="4">
        <v>0.0</v>
      </c>
      <c r="BZ25" s="4">
        <v>0.0</v>
      </c>
      <c r="CA25" s="4">
        <v>0.0</v>
      </c>
      <c r="CB25" s="4">
        <v>0.0</v>
      </c>
      <c r="CC25" s="4">
        <v>0.0</v>
      </c>
      <c r="CD25" s="4">
        <v>0.0</v>
      </c>
      <c r="CE25" s="4">
        <v>0.0</v>
      </c>
      <c r="CF25" s="4">
        <v>0.0</v>
      </c>
      <c r="CG25" s="4">
        <v>0.0</v>
      </c>
      <c r="CH25" s="4">
        <v>0.0</v>
      </c>
      <c r="CI25" s="4">
        <v>0.0</v>
      </c>
      <c r="CJ25" s="4">
        <v>0.0</v>
      </c>
      <c r="CK25" s="4">
        <v>0.0</v>
      </c>
      <c r="CL25" s="4">
        <v>0.0</v>
      </c>
      <c r="CM25" s="4">
        <v>0.0</v>
      </c>
      <c r="CN25" s="4">
        <v>0.0</v>
      </c>
      <c r="CO25" s="4">
        <v>0.0</v>
      </c>
      <c r="CP25" s="4">
        <v>0.0</v>
      </c>
      <c r="CQ25" s="4">
        <v>0.0</v>
      </c>
      <c r="CR25" s="4">
        <v>0.0</v>
      </c>
      <c r="CS25" s="4">
        <v>0.0</v>
      </c>
      <c r="CT25" s="4">
        <v>0.0</v>
      </c>
      <c r="CU25" s="4">
        <f t="shared" si="2"/>
        <v>1750</v>
      </c>
      <c r="CV25" s="4">
        <v>367.0</v>
      </c>
      <c r="CW25" s="4">
        <v>0.0</v>
      </c>
      <c r="CX25" s="4">
        <f t="shared" si="3"/>
        <v>367</v>
      </c>
    </row>
    <row r="26">
      <c r="A26" s="4">
        <v>25.0</v>
      </c>
      <c r="B26" s="4" t="s">
        <v>102</v>
      </c>
      <c r="C26" s="4" t="s">
        <v>140</v>
      </c>
      <c r="D26" s="4" t="s">
        <v>139</v>
      </c>
      <c r="E26" s="4">
        <v>2025.0</v>
      </c>
      <c r="F26" s="4">
        <v>11.5</v>
      </c>
      <c r="G26" s="4">
        <v>154.0</v>
      </c>
      <c r="H26" s="4">
        <v>310.0</v>
      </c>
      <c r="I26" s="4">
        <v>225.0</v>
      </c>
      <c r="J26" s="4">
        <v>225.0</v>
      </c>
      <c r="K26" s="4">
        <v>225.0</v>
      </c>
      <c r="L26" s="4">
        <v>0.0</v>
      </c>
      <c r="M26" s="4">
        <v>0.0</v>
      </c>
      <c r="N26" s="4">
        <v>60.0</v>
      </c>
      <c r="O26" s="4">
        <v>40.0</v>
      </c>
      <c r="P26" s="4">
        <v>0.0</v>
      </c>
      <c r="Q26" s="4">
        <v>0.0</v>
      </c>
      <c r="R26" s="4">
        <v>0.0</v>
      </c>
      <c r="S26" s="4">
        <v>0.0</v>
      </c>
      <c r="T26" s="4">
        <v>275.0</v>
      </c>
      <c r="U26" s="4">
        <v>90.0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>
        <v>0.0</v>
      </c>
      <c r="AD26" s="4">
        <v>0.0</v>
      </c>
      <c r="AE26" s="4">
        <v>0.0</v>
      </c>
      <c r="AF26" s="4">
        <v>0.0</v>
      </c>
      <c r="AG26" s="4">
        <v>0.0</v>
      </c>
      <c r="AH26" s="4">
        <v>0.0</v>
      </c>
      <c r="AI26" s="4">
        <v>0.0</v>
      </c>
      <c r="AJ26" s="4">
        <v>0.0</v>
      </c>
      <c r="AK26" s="4">
        <v>0.0</v>
      </c>
      <c r="AL26" s="4">
        <f t="shared" si="1"/>
        <v>1450</v>
      </c>
      <c r="AM26" s="4">
        <v>844.0</v>
      </c>
      <c r="AN26" s="4">
        <v>206.0</v>
      </c>
      <c r="AO26" s="4">
        <v>1050.0</v>
      </c>
      <c r="AP26" s="4">
        <v>181.0</v>
      </c>
      <c r="AQ26" s="4">
        <v>864.0</v>
      </c>
      <c r="AR26" s="4">
        <v>5.0</v>
      </c>
      <c r="AS26" s="4">
        <v>49.0</v>
      </c>
      <c r="AT26" s="4">
        <v>518.0</v>
      </c>
      <c r="AU26" s="4">
        <v>232.0</v>
      </c>
      <c r="AV26" s="4">
        <v>143.0</v>
      </c>
      <c r="AW26" s="4">
        <v>10.0</v>
      </c>
      <c r="AX26" s="4">
        <v>182.0</v>
      </c>
      <c r="AY26" s="4">
        <v>63.0</v>
      </c>
      <c r="AZ26" s="4">
        <v>19.0</v>
      </c>
      <c r="BA26" s="4">
        <v>82.0</v>
      </c>
      <c r="BB26" s="4">
        <v>15.0</v>
      </c>
      <c r="BC26" s="4">
        <v>67.0</v>
      </c>
      <c r="BD26" s="4">
        <v>0.0</v>
      </c>
      <c r="BE26" s="4">
        <v>5.0</v>
      </c>
      <c r="BF26" s="4">
        <v>44.0</v>
      </c>
      <c r="BG26" s="4">
        <v>24.0</v>
      </c>
      <c r="BH26" s="4">
        <v>9.0</v>
      </c>
      <c r="BI26" s="4">
        <v>0.0</v>
      </c>
      <c r="BJ26" s="4">
        <v>16.0</v>
      </c>
      <c r="BK26" s="4">
        <v>259.0</v>
      </c>
      <c r="BL26" s="4">
        <v>104.0</v>
      </c>
      <c r="BM26" s="4">
        <v>363.0</v>
      </c>
      <c r="BN26" s="4">
        <v>37.0</v>
      </c>
      <c r="BO26" s="4">
        <v>310.0</v>
      </c>
      <c r="BP26" s="4">
        <v>16.0</v>
      </c>
      <c r="BQ26" s="4">
        <v>29.0</v>
      </c>
      <c r="BR26" s="4">
        <v>167.0</v>
      </c>
      <c r="BS26" s="4">
        <v>70.0</v>
      </c>
      <c r="BT26" s="4">
        <v>61.0</v>
      </c>
      <c r="BU26" s="4">
        <v>0.0</v>
      </c>
      <c r="BV26" s="4">
        <v>65.0</v>
      </c>
      <c r="BW26" s="4">
        <v>0.0</v>
      </c>
      <c r="BX26" s="4">
        <v>0.0</v>
      </c>
      <c r="BY26" s="4">
        <v>0.0</v>
      </c>
      <c r="BZ26" s="4">
        <v>0.0</v>
      </c>
      <c r="CA26" s="4">
        <v>0.0</v>
      </c>
      <c r="CB26" s="4">
        <v>0.0</v>
      </c>
      <c r="CC26" s="4">
        <v>0.0</v>
      </c>
      <c r="CD26" s="4">
        <v>0.0</v>
      </c>
      <c r="CE26" s="4">
        <v>0.0</v>
      </c>
      <c r="CF26" s="4">
        <v>0.0</v>
      </c>
      <c r="CG26" s="4">
        <v>0.0</v>
      </c>
      <c r="CH26" s="4">
        <v>0.0</v>
      </c>
      <c r="CI26" s="4">
        <v>0.0</v>
      </c>
      <c r="CJ26" s="4">
        <v>0.0</v>
      </c>
      <c r="CK26" s="4">
        <v>0.0</v>
      </c>
      <c r="CL26" s="4">
        <v>0.0</v>
      </c>
      <c r="CM26" s="4">
        <v>0.0</v>
      </c>
      <c r="CN26" s="4">
        <v>0.0</v>
      </c>
      <c r="CO26" s="4">
        <v>0.0</v>
      </c>
      <c r="CP26" s="4">
        <v>0.0</v>
      </c>
      <c r="CQ26" s="4">
        <v>0.0</v>
      </c>
      <c r="CR26" s="4">
        <v>0.0</v>
      </c>
      <c r="CS26" s="4">
        <v>0.0</v>
      </c>
      <c r="CT26" s="4">
        <v>0.0</v>
      </c>
      <c r="CU26" s="4">
        <f t="shared" si="2"/>
        <v>1495</v>
      </c>
      <c r="CV26" s="4">
        <v>590.0</v>
      </c>
      <c r="CW26" s="4">
        <v>5.0</v>
      </c>
      <c r="CX26" s="4">
        <f t="shared" si="3"/>
        <v>595</v>
      </c>
    </row>
    <row r="27">
      <c r="A27" s="4">
        <v>26.0</v>
      </c>
      <c r="B27" s="4" t="s">
        <v>102</v>
      </c>
      <c r="C27" s="4" t="s">
        <v>141</v>
      </c>
      <c r="D27" s="4" t="s">
        <v>139</v>
      </c>
      <c r="E27" s="4">
        <v>2025.0</v>
      </c>
      <c r="F27" s="4">
        <v>12.45</v>
      </c>
      <c r="G27" s="4">
        <v>211.0</v>
      </c>
      <c r="H27" s="4">
        <v>520.0</v>
      </c>
      <c r="I27" s="4">
        <v>308.0</v>
      </c>
      <c r="J27" s="4">
        <v>301.0</v>
      </c>
      <c r="K27" s="4">
        <v>301.0</v>
      </c>
      <c r="L27" s="4">
        <v>0.0</v>
      </c>
      <c r="M27" s="4">
        <v>0.0</v>
      </c>
      <c r="N27" s="4">
        <v>0.0</v>
      </c>
      <c r="O27" s="4">
        <v>28.0</v>
      </c>
      <c r="P27" s="4">
        <v>28.0</v>
      </c>
      <c r="Q27" s="4">
        <v>28.0</v>
      </c>
      <c r="R27" s="4">
        <v>24.0</v>
      </c>
      <c r="S27" s="4">
        <v>0.0</v>
      </c>
      <c r="T27" s="4">
        <v>231.0</v>
      </c>
      <c r="U27" s="4">
        <v>284.0</v>
      </c>
      <c r="V27" s="4">
        <v>0.0</v>
      </c>
      <c r="W27" s="4">
        <v>0.0</v>
      </c>
      <c r="X27" s="4">
        <v>0.0</v>
      </c>
      <c r="Y27" s="4">
        <v>0.0</v>
      </c>
      <c r="Z27" s="4">
        <v>0.0</v>
      </c>
      <c r="AA27" s="4">
        <v>0.0</v>
      </c>
      <c r="AB27" s="4">
        <v>0.0</v>
      </c>
      <c r="AC27" s="4">
        <v>0.0</v>
      </c>
      <c r="AD27" s="4">
        <v>0.0</v>
      </c>
      <c r="AE27" s="4">
        <v>0.0</v>
      </c>
      <c r="AF27" s="4">
        <v>0.0</v>
      </c>
      <c r="AG27" s="4">
        <v>0.0</v>
      </c>
      <c r="AH27" s="4">
        <v>0.0</v>
      </c>
      <c r="AI27" s="4">
        <v>0.0</v>
      </c>
      <c r="AJ27" s="4">
        <v>0.0</v>
      </c>
      <c r="AK27" s="4">
        <v>0.0</v>
      </c>
      <c r="AL27" s="4">
        <f t="shared" si="1"/>
        <v>2053</v>
      </c>
      <c r="AM27" s="4">
        <v>1075.0</v>
      </c>
      <c r="AN27" s="4">
        <v>270.0</v>
      </c>
      <c r="AO27" s="4">
        <v>1345.0</v>
      </c>
      <c r="AP27" s="4">
        <v>21.0</v>
      </c>
      <c r="AQ27" s="4">
        <v>1321.0</v>
      </c>
      <c r="AR27" s="4">
        <v>3.0</v>
      </c>
      <c r="AS27" s="4">
        <v>327.0</v>
      </c>
      <c r="AT27" s="4">
        <v>683.0</v>
      </c>
      <c r="AU27" s="4">
        <v>317.0</v>
      </c>
      <c r="AV27" s="4">
        <v>346.0</v>
      </c>
      <c r="AW27" s="4">
        <v>23.0</v>
      </c>
      <c r="AX27" s="4">
        <v>324.0</v>
      </c>
      <c r="AY27" s="4">
        <v>54.0</v>
      </c>
      <c r="AZ27" s="4">
        <v>14.0</v>
      </c>
      <c r="BA27" s="4">
        <v>68.0</v>
      </c>
      <c r="BB27" s="4">
        <v>1.0</v>
      </c>
      <c r="BC27" s="4">
        <v>67.0</v>
      </c>
      <c r="BD27" s="4">
        <v>0.0</v>
      </c>
      <c r="BE27" s="4">
        <v>23.0</v>
      </c>
      <c r="BF27" s="4">
        <v>26.0</v>
      </c>
      <c r="BG27" s="4">
        <v>7.0</v>
      </c>
      <c r="BH27" s="4">
        <v>14.0</v>
      </c>
      <c r="BI27" s="4">
        <v>0.0</v>
      </c>
      <c r="BJ27" s="4">
        <v>28.0</v>
      </c>
      <c r="BK27" s="4">
        <v>371.0</v>
      </c>
      <c r="BL27" s="4">
        <v>144.0</v>
      </c>
      <c r="BM27" s="4">
        <v>515.0</v>
      </c>
      <c r="BN27" s="4">
        <v>30.0</v>
      </c>
      <c r="BO27" s="4">
        <v>484.0</v>
      </c>
      <c r="BP27" s="4">
        <v>1.0</v>
      </c>
      <c r="BQ27" s="4">
        <v>22.0</v>
      </c>
      <c r="BR27" s="4">
        <v>254.0</v>
      </c>
      <c r="BS27" s="4">
        <v>97.0</v>
      </c>
      <c r="BT27" s="4">
        <v>179.0</v>
      </c>
      <c r="BU27" s="4">
        <v>0.0</v>
      </c>
      <c r="BV27" s="4">
        <v>0.0</v>
      </c>
      <c r="BW27" s="4">
        <v>0.0</v>
      </c>
      <c r="BX27" s="4">
        <v>0.0</v>
      </c>
      <c r="BY27" s="4">
        <v>0.0</v>
      </c>
      <c r="BZ27" s="4">
        <v>0.0</v>
      </c>
      <c r="CA27" s="4">
        <v>0.0</v>
      </c>
      <c r="CB27" s="4">
        <v>0.0</v>
      </c>
      <c r="CC27" s="4">
        <v>0.0</v>
      </c>
      <c r="CD27" s="4">
        <v>0.0</v>
      </c>
      <c r="CE27" s="4">
        <v>0.0</v>
      </c>
      <c r="CF27" s="4">
        <v>0.0</v>
      </c>
      <c r="CG27" s="4">
        <v>0.0</v>
      </c>
      <c r="CH27" s="4">
        <v>0.0</v>
      </c>
      <c r="CI27" s="4">
        <v>0.0</v>
      </c>
      <c r="CJ27" s="4">
        <v>0.0</v>
      </c>
      <c r="CK27" s="4">
        <v>0.0</v>
      </c>
      <c r="CL27" s="4">
        <v>0.0</v>
      </c>
      <c r="CM27" s="4">
        <v>0.0</v>
      </c>
      <c r="CN27" s="4">
        <v>0.0</v>
      </c>
      <c r="CO27" s="4">
        <v>0.0</v>
      </c>
      <c r="CP27" s="4">
        <v>0.0</v>
      </c>
      <c r="CQ27" s="4">
        <v>0.0</v>
      </c>
      <c r="CR27" s="4">
        <v>0.0</v>
      </c>
      <c r="CS27" s="4">
        <v>0.0</v>
      </c>
      <c r="CT27" s="4">
        <v>0.0</v>
      </c>
      <c r="CU27" s="4">
        <f t="shared" si="2"/>
        <v>1928</v>
      </c>
      <c r="CV27" s="4">
        <v>672.0</v>
      </c>
      <c r="CW27" s="4">
        <v>48.0</v>
      </c>
      <c r="CX27" s="4">
        <f t="shared" si="3"/>
        <v>720</v>
      </c>
    </row>
    <row r="28">
      <c r="A28" s="4">
        <v>27.0</v>
      </c>
      <c r="B28" s="4" t="s">
        <v>102</v>
      </c>
      <c r="C28" s="4" t="s">
        <v>142</v>
      </c>
      <c r="D28" s="4" t="s">
        <v>139</v>
      </c>
      <c r="E28" s="4">
        <v>2025.0</v>
      </c>
      <c r="F28" s="4">
        <v>12.5</v>
      </c>
      <c r="G28" s="4">
        <v>289.0</v>
      </c>
      <c r="H28" s="4">
        <v>510.0</v>
      </c>
      <c r="I28" s="4">
        <v>530.0</v>
      </c>
      <c r="J28" s="4">
        <v>490.0</v>
      </c>
      <c r="K28" s="4">
        <v>490.0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  <c r="T28" s="4">
        <v>276.0</v>
      </c>
      <c r="U28" s="4">
        <v>229.0</v>
      </c>
      <c r="V28" s="4">
        <v>0.0</v>
      </c>
      <c r="W28" s="4">
        <v>0.0</v>
      </c>
      <c r="X28" s="4">
        <v>0.0</v>
      </c>
      <c r="Y28" s="4">
        <v>0.0</v>
      </c>
      <c r="Z28" s="4">
        <v>11.0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0.0</v>
      </c>
      <c r="AG28" s="4">
        <v>0.0</v>
      </c>
      <c r="AH28" s="4">
        <v>0.0</v>
      </c>
      <c r="AI28" s="4">
        <v>0.0</v>
      </c>
      <c r="AJ28" s="4">
        <v>0.0</v>
      </c>
      <c r="AK28" s="4">
        <v>0.0</v>
      </c>
      <c r="AL28" s="4">
        <f t="shared" si="1"/>
        <v>2536</v>
      </c>
      <c r="AM28" s="4">
        <v>1565.0</v>
      </c>
      <c r="AN28" s="4">
        <v>365.0</v>
      </c>
      <c r="AO28" s="4">
        <v>1930.0</v>
      </c>
      <c r="AP28" s="4">
        <v>429.0</v>
      </c>
      <c r="AQ28" s="4">
        <v>1501.0</v>
      </c>
      <c r="AR28" s="4">
        <v>0.0</v>
      </c>
      <c r="AS28" s="4">
        <v>291.0</v>
      </c>
      <c r="AT28" s="4">
        <v>967.0</v>
      </c>
      <c r="AU28" s="4">
        <v>155.0</v>
      </c>
      <c r="AV28" s="4">
        <v>663.0</v>
      </c>
      <c r="AW28" s="4">
        <v>44.0</v>
      </c>
      <c r="AX28" s="4">
        <v>396.0</v>
      </c>
      <c r="AY28" s="4">
        <v>0.0</v>
      </c>
      <c r="AZ28" s="4">
        <v>0.0</v>
      </c>
      <c r="BA28" s="4">
        <v>0.0</v>
      </c>
      <c r="BB28" s="4">
        <v>0.0</v>
      </c>
      <c r="BC28" s="4">
        <v>0.0</v>
      </c>
      <c r="BD28" s="4">
        <v>0.0</v>
      </c>
      <c r="BE28" s="4">
        <v>0.0</v>
      </c>
      <c r="BF28" s="4">
        <v>0.0</v>
      </c>
      <c r="BG28" s="4">
        <v>0.0</v>
      </c>
      <c r="BH28" s="4">
        <v>0.0</v>
      </c>
      <c r="BI28" s="4">
        <v>0.0</v>
      </c>
      <c r="BJ28" s="4">
        <v>0.0</v>
      </c>
      <c r="BK28" s="4">
        <v>347.0</v>
      </c>
      <c r="BL28" s="4">
        <v>107.0</v>
      </c>
      <c r="BM28" s="4">
        <v>454.0</v>
      </c>
      <c r="BN28" s="4">
        <v>50.0</v>
      </c>
      <c r="BO28" s="4">
        <v>404.0</v>
      </c>
      <c r="BP28" s="4">
        <v>0.0</v>
      </c>
      <c r="BQ28" s="4">
        <v>115.0</v>
      </c>
      <c r="BR28" s="4">
        <v>208.0</v>
      </c>
      <c r="BS28" s="4">
        <v>2.0</v>
      </c>
      <c r="BT28" s="4">
        <v>69.0</v>
      </c>
      <c r="BU28" s="4">
        <v>4.0</v>
      </c>
      <c r="BV28" s="4">
        <v>248.0</v>
      </c>
      <c r="BW28" s="4">
        <v>7.0</v>
      </c>
      <c r="BX28" s="4">
        <v>4.0</v>
      </c>
      <c r="BY28" s="4">
        <v>11.0</v>
      </c>
      <c r="BZ28" s="4">
        <v>1.0</v>
      </c>
      <c r="CA28" s="4">
        <v>10.0</v>
      </c>
      <c r="CB28" s="4">
        <v>0.0</v>
      </c>
      <c r="CC28" s="4">
        <v>7.0</v>
      </c>
      <c r="CD28" s="4">
        <v>1.0</v>
      </c>
      <c r="CE28" s="4">
        <v>0.0</v>
      </c>
      <c r="CF28" s="4">
        <v>0.0</v>
      </c>
      <c r="CG28" s="4">
        <v>0.0</v>
      </c>
      <c r="CH28" s="4">
        <v>8.0</v>
      </c>
      <c r="CI28" s="4">
        <v>0.0</v>
      </c>
      <c r="CJ28" s="4">
        <v>0.0</v>
      </c>
      <c r="CK28" s="4">
        <v>0.0</v>
      </c>
      <c r="CL28" s="4">
        <v>0.0</v>
      </c>
      <c r="CM28" s="4">
        <v>0.0</v>
      </c>
      <c r="CN28" s="4">
        <v>0.0</v>
      </c>
      <c r="CO28" s="4">
        <v>0.0</v>
      </c>
      <c r="CP28" s="4">
        <v>0.0</v>
      </c>
      <c r="CQ28" s="4">
        <v>0.0</v>
      </c>
      <c r="CR28" s="4">
        <v>0.0</v>
      </c>
      <c r="CS28" s="4">
        <v>0.0</v>
      </c>
      <c r="CT28" s="4">
        <v>0.0</v>
      </c>
      <c r="CU28" s="4">
        <f t="shared" si="2"/>
        <v>2395</v>
      </c>
      <c r="CV28" s="4">
        <v>788.0</v>
      </c>
      <c r="CW28" s="4">
        <v>132.0</v>
      </c>
      <c r="CX28" s="4">
        <f t="shared" si="3"/>
        <v>920</v>
      </c>
    </row>
    <row r="29">
      <c r="A29" s="4">
        <v>28.0</v>
      </c>
      <c r="B29" s="4" t="s">
        <v>112</v>
      </c>
      <c r="C29" s="4" t="s">
        <v>143</v>
      </c>
      <c r="D29" s="4" t="s">
        <v>139</v>
      </c>
      <c r="E29" s="4">
        <v>2025.0</v>
      </c>
      <c r="F29" s="4">
        <v>16.16</v>
      </c>
      <c r="G29" s="4">
        <v>398.0</v>
      </c>
      <c r="H29" s="4">
        <v>929.0</v>
      </c>
      <c r="I29" s="4">
        <v>989.0</v>
      </c>
      <c r="J29" s="4">
        <v>989.0</v>
      </c>
      <c r="K29" s="4">
        <v>945.0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  <c r="T29" s="4">
        <v>688.0</v>
      </c>
      <c r="U29" s="4">
        <v>688.0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0.0</v>
      </c>
      <c r="AB29" s="4">
        <v>0.0</v>
      </c>
      <c r="AC29" s="4">
        <v>0.0</v>
      </c>
      <c r="AD29" s="4">
        <v>0.0</v>
      </c>
      <c r="AE29" s="4">
        <v>0.0</v>
      </c>
      <c r="AF29" s="4">
        <v>0.0</v>
      </c>
      <c r="AG29" s="4">
        <v>0.0</v>
      </c>
      <c r="AH29" s="4">
        <v>0.0</v>
      </c>
      <c r="AI29" s="4">
        <v>0.0</v>
      </c>
      <c r="AJ29" s="4">
        <v>0.0</v>
      </c>
      <c r="AK29" s="4">
        <v>0.0</v>
      </c>
      <c r="AL29" s="4">
        <f t="shared" si="1"/>
        <v>5228</v>
      </c>
      <c r="AM29" s="4">
        <v>3162.0</v>
      </c>
      <c r="AN29" s="4">
        <v>894.0</v>
      </c>
      <c r="AO29" s="4">
        <v>4056.0</v>
      </c>
      <c r="AP29" s="4">
        <v>1846.0</v>
      </c>
      <c r="AQ29" s="4">
        <v>1845.0</v>
      </c>
      <c r="AR29" s="4">
        <v>365.0</v>
      </c>
      <c r="AS29" s="4">
        <v>691.0</v>
      </c>
      <c r="AT29" s="4">
        <v>2026.0</v>
      </c>
      <c r="AU29" s="4">
        <v>281.0</v>
      </c>
      <c r="AV29" s="4">
        <v>1730.0</v>
      </c>
      <c r="AW29" s="4">
        <v>36.0</v>
      </c>
      <c r="AX29" s="4">
        <v>670.0</v>
      </c>
      <c r="AY29" s="4">
        <v>0.0</v>
      </c>
      <c r="AZ29" s="4">
        <v>0.0</v>
      </c>
      <c r="BA29" s="4">
        <v>0.0</v>
      </c>
      <c r="BB29" s="4">
        <v>0.0</v>
      </c>
      <c r="BC29" s="4">
        <v>0.0</v>
      </c>
      <c r="BD29" s="4">
        <v>0.0</v>
      </c>
      <c r="BE29" s="4">
        <v>0.0</v>
      </c>
      <c r="BF29" s="4">
        <v>0.0</v>
      </c>
      <c r="BG29" s="4">
        <v>0.0</v>
      </c>
      <c r="BH29" s="4">
        <v>0.0</v>
      </c>
      <c r="BI29" s="4">
        <v>0.0</v>
      </c>
      <c r="BJ29" s="4">
        <v>0.0</v>
      </c>
      <c r="BK29" s="4">
        <v>810.0</v>
      </c>
      <c r="BL29" s="4">
        <v>231.0</v>
      </c>
      <c r="BM29" s="4">
        <v>1041.0</v>
      </c>
      <c r="BN29" s="4">
        <v>365.0</v>
      </c>
      <c r="BO29" s="4">
        <v>665.0</v>
      </c>
      <c r="BP29" s="4">
        <v>11.0</v>
      </c>
      <c r="BQ29" s="4">
        <v>84.0</v>
      </c>
      <c r="BR29" s="4">
        <v>517.0</v>
      </c>
      <c r="BS29" s="4">
        <v>6.0</v>
      </c>
      <c r="BT29" s="4">
        <v>217.0</v>
      </c>
      <c r="BU29" s="4">
        <v>0.0</v>
      </c>
      <c r="BV29" s="4">
        <v>378.0</v>
      </c>
      <c r="BW29" s="4">
        <v>0.0</v>
      </c>
      <c r="BX29" s="4">
        <v>0.0</v>
      </c>
      <c r="BY29" s="4">
        <v>0.0</v>
      </c>
      <c r="BZ29" s="4">
        <v>0.0</v>
      </c>
      <c r="CA29" s="4">
        <v>0.0</v>
      </c>
      <c r="CB29" s="4">
        <v>0.0</v>
      </c>
      <c r="CC29" s="4">
        <v>0.0</v>
      </c>
      <c r="CD29" s="4">
        <v>0.0</v>
      </c>
      <c r="CE29" s="4">
        <v>0.0</v>
      </c>
      <c r="CF29" s="4">
        <v>0.0</v>
      </c>
      <c r="CG29" s="4">
        <v>0.0</v>
      </c>
      <c r="CH29" s="4">
        <v>0.0</v>
      </c>
      <c r="CI29" s="4">
        <v>0.0</v>
      </c>
      <c r="CJ29" s="4">
        <v>0.0</v>
      </c>
      <c r="CK29" s="4">
        <v>0.0</v>
      </c>
      <c r="CL29" s="4">
        <v>0.0</v>
      </c>
      <c r="CM29" s="4">
        <v>0.0</v>
      </c>
      <c r="CN29" s="4">
        <v>0.0</v>
      </c>
      <c r="CO29" s="4">
        <v>0.0</v>
      </c>
      <c r="CP29" s="4">
        <v>0.0</v>
      </c>
      <c r="CQ29" s="4">
        <v>0.0</v>
      </c>
      <c r="CR29" s="4">
        <v>0.0</v>
      </c>
      <c r="CS29" s="4">
        <v>0.0</v>
      </c>
      <c r="CT29" s="4">
        <v>0.0</v>
      </c>
      <c r="CU29" s="4">
        <f t="shared" si="2"/>
        <v>5097</v>
      </c>
      <c r="CV29" s="4">
        <v>478.0</v>
      </c>
      <c r="CW29" s="4">
        <v>355.0</v>
      </c>
      <c r="CX29" s="4">
        <f t="shared" si="3"/>
        <v>833</v>
      </c>
    </row>
    <row r="30">
      <c r="A30" s="4">
        <v>29.0</v>
      </c>
      <c r="B30" s="4" t="s">
        <v>144</v>
      </c>
      <c r="C30" s="4" t="s">
        <v>145</v>
      </c>
      <c r="D30" s="4" t="s">
        <v>146</v>
      </c>
      <c r="E30" s="4">
        <v>2025.0</v>
      </c>
      <c r="F30" s="4">
        <v>18.0</v>
      </c>
      <c r="G30" s="4">
        <v>731.0</v>
      </c>
      <c r="H30" s="4">
        <v>2500.0</v>
      </c>
      <c r="I30" s="4">
        <v>2500.0</v>
      </c>
      <c r="J30" s="4">
        <v>2500.0</v>
      </c>
      <c r="K30" s="4">
        <v>2395.0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  <c r="T30" s="4">
        <v>276.0</v>
      </c>
      <c r="U30" s="4">
        <v>300.0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0.0</v>
      </c>
      <c r="AB30" s="4">
        <v>0.0</v>
      </c>
      <c r="AC30" s="4">
        <v>0.0</v>
      </c>
      <c r="AD30" s="4">
        <v>0.0</v>
      </c>
      <c r="AE30" s="4">
        <v>0.0</v>
      </c>
      <c r="AF30" s="4">
        <v>0.0</v>
      </c>
      <c r="AG30" s="4">
        <v>0.0</v>
      </c>
      <c r="AH30" s="4">
        <v>0.0</v>
      </c>
      <c r="AI30" s="4">
        <v>0.0</v>
      </c>
      <c r="AJ30" s="4">
        <v>0.0</v>
      </c>
      <c r="AK30" s="4">
        <v>0.0</v>
      </c>
      <c r="AL30" s="4">
        <f t="shared" si="1"/>
        <v>10471</v>
      </c>
      <c r="AM30" s="4">
        <v>6460.0</v>
      </c>
      <c r="AN30" s="4">
        <v>3635.0</v>
      </c>
      <c r="AO30" s="4">
        <v>10095.0</v>
      </c>
      <c r="AP30" s="4">
        <v>3098.0</v>
      </c>
      <c r="AQ30" s="4">
        <v>6866.0</v>
      </c>
      <c r="AR30" s="4">
        <v>131.0</v>
      </c>
      <c r="AS30" s="4">
        <v>495.0</v>
      </c>
      <c r="AT30" s="4">
        <v>787.0</v>
      </c>
      <c r="AU30" s="4">
        <v>84.0</v>
      </c>
      <c r="AV30" s="4">
        <v>1192.0</v>
      </c>
      <c r="AW30" s="4">
        <v>0.0</v>
      </c>
      <c r="AX30" s="4">
        <v>6.0</v>
      </c>
      <c r="AY30" s="4">
        <v>0.0</v>
      </c>
      <c r="AZ30" s="4">
        <v>0.0</v>
      </c>
      <c r="BA30" s="4">
        <v>0.0</v>
      </c>
      <c r="BB30" s="4">
        <v>0.0</v>
      </c>
      <c r="BC30" s="4">
        <v>0.0</v>
      </c>
      <c r="BD30" s="4">
        <v>0.0</v>
      </c>
      <c r="BE30" s="4">
        <v>0.0</v>
      </c>
      <c r="BF30" s="4">
        <v>0.0</v>
      </c>
      <c r="BG30" s="4">
        <v>0.0</v>
      </c>
      <c r="BH30" s="4">
        <v>0.0</v>
      </c>
      <c r="BI30" s="4">
        <v>0.0</v>
      </c>
      <c r="BJ30" s="4">
        <v>0.0</v>
      </c>
      <c r="BK30" s="4">
        <v>221.0</v>
      </c>
      <c r="BL30" s="4">
        <v>168.0</v>
      </c>
      <c r="BM30" s="4">
        <v>389.0</v>
      </c>
      <c r="BN30" s="4">
        <v>134.0</v>
      </c>
      <c r="BO30" s="4">
        <v>253.0</v>
      </c>
      <c r="BP30" s="4">
        <v>2.0</v>
      </c>
      <c r="BQ30" s="4">
        <v>40.0</v>
      </c>
      <c r="BR30" s="4">
        <v>141.0</v>
      </c>
      <c r="BS30" s="4">
        <v>40.0</v>
      </c>
      <c r="BT30" s="4">
        <v>136.0</v>
      </c>
      <c r="BU30" s="4">
        <v>0.0</v>
      </c>
      <c r="BV30" s="4">
        <v>5.0</v>
      </c>
      <c r="BW30" s="4">
        <v>0.0</v>
      </c>
      <c r="BX30" s="4">
        <v>0.0</v>
      </c>
      <c r="BY30" s="4">
        <v>0.0</v>
      </c>
      <c r="BZ30" s="4">
        <v>0.0</v>
      </c>
      <c r="CA30" s="4">
        <v>0.0</v>
      </c>
      <c r="CB30" s="4">
        <v>0.0</v>
      </c>
      <c r="CC30" s="4">
        <v>0.0</v>
      </c>
      <c r="CD30" s="4">
        <v>0.0</v>
      </c>
      <c r="CE30" s="4">
        <v>0.0</v>
      </c>
      <c r="CF30" s="4">
        <v>0.0</v>
      </c>
      <c r="CG30" s="4">
        <v>0.0</v>
      </c>
      <c r="CH30" s="4">
        <v>0.0</v>
      </c>
      <c r="CI30" s="4">
        <v>0.0</v>
      </c>
      <c r="CJ30" s="4">
        <v>0.0</v>
      </c>
      <c r="CK30" s="4">
        <v>0.0</v>
      </c>
      <c r="CL30" s="4">
        <v>0.0</v>
      </c>
      <c r="CM30" s="4">
        <v>0.0</v>
      </c>
      <c r="CN30" s="4">
        <v>0.0</v>
      </c>
      <c r="CO30" s="4">
        <v>0.0</v>
      </c>
      <c r="CP30" s="4">
        <v>0.0</v>
      </c>
      <c r="CQ30" s="4">
        <v>0.0</v>
      </c>
      <c r="CR30" s="4">
        <v>0.0</v>
      </c>
      <c r="CS30" s="4">
        <v>0.0</v>
      </c>
      <c r="CT30" s="4">
        <v>0.0</v>
      </c>
      <c r="CU30" s="4">
        <f t="shared" si="2"/>
        <v>10484</v>
      </c>
      <c r="CV30" s="4">
        <v>469.0</v>
      </c>
      <c r="CW30" s="4">
        <v>26.0</v>
      </c>
      <c r="CX30" s="4">
        <f t="shared" si="3"/>
        <v>495</v>
      </c>
    </row>
    <row r="31">
      <c r="A31" s="4">
        <v>30.0</v>
      </c>
      <c r="B31" s="4" t="s">
        <v>147</v>
      </c>
      <c r="C31" s="4" t="s">
        <v>105</v>
      </c>
      <c r="D31" s="4" t="s">
        <v>2</v>
      </c>
      <c r="E31" s="4">
        <v>2025.0</v>
      </c>
      <c r="F31" s="4">
        <v>19.0</v>
      </c>
      <c r="G31" s="4">
        <v>878.0</v>
      </c>
      <c r="H31" s="4">
        <v>2529.0</v>
      </c>
      <c r="I31" s="4">
        <v>2529.0</v>
      </c>
      <c r="J31" s="4">
        <v>2529.0</v>
      </c>
      <c r="K31" s="4">
        <v>2529.0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  <c r="T31" s="4">
        <v>435.0</v>
      </c>
      <c r="U31" s="4">
        <v>350.0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0.0</v>
      </c>
      <c r="AB31" s="4">
        <v>0.0</v>
      </c>
      <c r="AC31" s="4">
        <v>0.0</v>
      </c>
      <c r="AD31" s="4">
        <v>0.0</v>
      </c>
      <c r="AE31" s="4">
        <v>0.0</v>
      </c>
      <c r="AF31" s="4">
        <v>0.0</v>
      </c>
      <c r="AG31" s="4">
        <v>0.0</v>
      </c>
      <c r="AH31" s="4">
        <v>0.0</v>
      </c>
      <c r="AI31" s="4">
        <v>0.0</v>
      </c>
      <c r="AJ31" s="4">
        <v>0.0</v>
      </c>
      <c r="AK31" s="4">
        <v>0.0</v>
      </c>
      <c r="AL31" s="4">
        <f t="shared" si="1"/>
        <v>10901</v>
      </c>
      <c r="AM31" s="4">
        <v>8979.0</v>
      </c>
      <c r="AN31" s="4">
        <v>1452.0</v>
      </c>
      <c r="AO31" s="4">
        <v>10431.0</v>
      </c>
      <c r="AP31" s="4">
        <v>4923.0</v>
      </c>
      <c r="AQ31" s="4">
        <v>5031.0</v>
      </c>
      <c r="AR31" s="4">
        <v>477.0</v>
      </c>
      <c r="AS31" s="4">
        <v>216.0</v>
      </c>
      <c r="AT31" s="4">
        <v>4946.0</v>
      </c>
      <c r="AU31" s="4">
        <v>542.0</v>
      </c>
      <c r="AV31" s="4">
        <v>829.0</v>
      </c>
      <c r="AW31" s="4">
        <v>52.0</v>
      </c>
      <c r="AX31" s="4">
        <v>3739.0</v>
      </c>
      <c r="AY31" s="4">
        <v>0.0</v>
      </c>
      <c r="AZ31" s="4">
        <v>0.0</v>
      </c>
      <c r="BA31" s="4">
        <v>0.0</v>
      </c>
      <c r="BB31" s="4">
        <v>0.0</v>
      </c>
      <c r="BC31" s="4">
        <v>0.0</v>
      </c>
      <c r="BD31" s="4">
        <v>0.0</v>
      </c>
      <c r="BE31" s="4">
        <v>0.0</v>
      </c>
      <c r="BF31" s="4">
        <v>0.0</v>
      </c>
      <c r="BG31" s="4">
        <v>0.0</v>
      </c>
      <c r="BH31" s="4">
        <v>0.0</v>
      </c>
      <c r="BI31" s="4">
        <v>0.0</v>
      </c>
      <c r="BJ31" s="4">
        <v>0.0</v>
      </c>
      <c r="BK31" s="4">
        <v>404.0</v>
      </c>
      <c r="BL31" s="4">
        <v>103.0</v>
      </c>
      <c r="BM31" s="4">
        <v>507.0</v>
      </c>
      <c r="BN31" s="4">
        <v>77.0</v>
      </c>
      <c r="BO31" s="4">
        <v>406.0</v>
      </c>
      <c r="BP31" s="4">
        <v>24.0</v>
      </c>
      <c r="BQ31" s="4">
        <v>34.0</v>
      </c>
      <c r="BR31" s="4">
        <v>167.0</v>
      </c>
      <c r="BS31" s="4">
        <v>191.0</v>
      </c>
      <c r="BT31" s="4">
        <v>8.0</v>
      </c>
      <c r="BU31" s="4">
        <v>2.0</v>
      </c>
      <c r="BV31" s="4">
        <v>0.0</v>
      </c>
      <c r="BW31" s="4">
        <v>0.0</v>
      </c>
      <c r="BX31" s="4">
        <v>0.0</v>
      </c>
      <c r="BY31" s="4">
        <v>0.0</v>
      </c>
      <c r="BZ31" s="4">
        <v>0.0</v>
      </c>
      <c r="CA31" s="4">
        <v>0.0</v>
      </c>
      <c r="CB31" s="4">
        <v>0.0</v>
      </c>
      <c r="CC31" s="4">
        <v>0.0</v>
      </c>
      <c r="CD31" s="4">
        <v>0.0</v>
      </c>
      <c r="CE31" s="4">
        <v>0.0</v>
      </c>
      <c r="CF31" s="4">
        <v>0.0</v>
      </c>
      <c r="CG31" s="4">
        <v>0.0</v>
      </c>
      <c r="CH31" s="4">
        <v>0.0</v>
      </c>
      <c r="CI31" s="4">
        <v>0.0</v>
      </c>
      <c r="CJ31" s="4">
        <v>0.0</v>
      </c>
      <c r="CK31" s="4">
        <v>0.0</v>
      </c>
      <c r="CL31" s="4">
        <v>0.0</v>
      </c>
      <c r="CM31" s="4">
        <v>0.0</v>
      </c>
      <c r="CN31" s="4">
        <v>0.0</v>
      </c>
      <c r="CO31" s="4">
        <v>0.0</v>
      </c>
      <c r="CP31" s="4">
        <v>0.0</v>
      </c>
      <c r="CQ31" s="4">
        <v>0.0</v>
      </c>
      <c r="CR31" s="4">
        <v>0.0</v>
      </c>
      <c r="CS31" s="4">
        <v>0.0</v>
      </c>
      <c r="CT31" s="4">
        <v>0.0</v>
      </c>
      <c r="CU31" s="4">
        <f t="shared" si="2"/>
        <v>10938</v>
      </c>
      <c r="CV31" s="4">
        <v>753.0</v>
      </c>
      <c r="CW31" s="4">
        <v>556.0</v>
      </c>
      <c r="CX31" s="4">
        <f t="shared" si="3"/>
        <v>1309</v>
      </c>
    </row>
    <row r="32">
      <c r="A32" s="4">
        <v>31.0</v>
      </c>
      <c r="B32" s="9" t="s">
        <v>148</v>
      </c>
      <c r="C32" s="9" t="s">
        <v>149</v>
      </c>
      <c r="D32" s="9" t="s">
        <v>146</v>
      </c>
      <c r="E32" s="9">
        <v>2025.0</v>
      </c>
      <c r="F32" s="4">
        <v>17.88</v>
      </c>
      <c r="G32" s="10">
        <v>999.0</v>
      </c>
      <c r="H32" s="10">
        <v>3936.0</v>
      </c>
      <c r="I32" s="9">
        <v>3210.0</v>
      </c>
      <c r="J32" s="9">
        <v>3240.0</v>
      </c>
      <c r="K32" s="9">
        <v>3240.0</v>
      </c>
      <c r="L32" s="9">
        <v>0.0</v>
      </c>
      <c r="M32" s="9">
        <v>0.0</v>
      </c>
      <c r="N32" s="9">
        <v>65.0</v>
      </c>
      <c r="O32" s="9">
        <v>86.0</v>
      </c>
      <c r="P32" s="9">
        <v>0.0</v>
      </c>
      <c r="Q32" s="9">
        <v>0.0</v>
      </c>
      <c r="R32" s="9">
        <v>0.0</v>
      </c>
      <c r="S32" s="9">
        <v>0.0</v>
      </c>
      <c r="T32" s="9">
        <v>244.0</v>
      </c>
      <c r="U32" s="9">
        <v>226.0</v>
      </c>
      <c r="V32" s="9">
        <v>0.0</v>
      </c>
      <c r="W32" s="9">
        <v>0.0</v>
      </c>
      <c r="X32" s="9">
        <v>0.0</v>
      </c>
      <c r="Y32" s="9">
        <v>0.0</v>
      </c>
      <c r="Z32" s="9">
        <v>0.0</v>
      </c>
      <c r="AA32" s="9">
        <v>0.0</v>
      </c>
      <c r="AB32" s="9">
        <v>0.0</v>
      </c>
      <c r="AC32" s="9">
        <v>0.0</v>
      </c>
      <c r="AD32" s="9">
        <v>0.0</v>
      </c>
      <c r="AE32" s="9">
        <v>0.0</v>
      </c>
      <c r="AF32" s="4">
        <v>0.0</v>
      </c>
      <c r="AG32" s="4">
        <v>0.0</v>
      </c>
      <c r="AH32" s="4">
        <v>0.0</v>
      </c>
      <c r="AI32" s="4">
        <v>0.0</v>
      </c>
      <c r="AJ32" s="4">
        <v>0.0</v>
      </c>
      <c r="AK32" s="4">
        <v>0.0</v>
      </c>
      <c r="AL32" s="4">
        <f t="shared" si="1"/>
        <v>14247</v>
      </c>
      <c r="AM32" s="9">
        <v>6698.0</v>
      </c>
      <c r="AN32" s="9">
        <v>6811.0</v>
      </c>
      <c r="AO32" s="9">
        <v>13509.0</v>
      </c>
      <c r="AP32" s="9">
        <v>1491.0</v>
      </c>
      <c r="AQ32" s="9">
        <v>11038.0</v>
      </c>
      <c r="AR32" s="9">
        <v>980.0</v>
      </c>
      <c r="AS32" s="9">
        <v>2409.0</v>
      </c>
      <c r="AT32" s="9">
        <v>1499.0</v>
      </c>
      <c r="AU32" s="9">
        <v>273.0</v>
      </c>
      <c r="AV32" s="9">
        <v>1557.0</v>
      </c>
      <c r="AW32" s="9">
        <v>0.0</v>
      </c>
      <c r="AX32" s="9">
        <v>2078.0</v>
      </c>
      <c r="AY32" s="9">
        <v>93.0</v>
      </c>
      <c r="AZ32" s="9">
        <v>58.0</v>
      </c>
      <c r="BA32" s="9">
        <v>151.0</v>
      </c>
      <c r="BB32" s="9">
        <v>31.0</v>
      </c>
      <c r="BC32" s="9">
        <v>114.0</v>
      </c>
      <c r="BD32" s="9">
        <v>6.0</v>
      </c>
      <c r="BE32" s="9">
        <v>26.0</v>
      </c>
      <c r="BF32" s="9">
        <v>28.0</v>
      </c>
      <c r="BG32" s="9">
        <v>12.0</v>
      </c>
      <c r="BH32" s="9">
        <v>8.0</v>
      </c>
      <c r="BI32" s="9">
        <v>0.0</v>
      </c>
      <c r="BJ32" s="9">
        <v>34.0</v>
      </c>
      <c r="BK32" s="9">
        <v>241.0</v>
      </c>
      <c r="BL32" s="9">
        <v>229.0</v>
      </c>
      <c r="BM32" s="9">
        <v>470.0</v>
      </c>
      <c r="BN32" s="9">
        <v>46.0</v>
      </c>
      <c r="BO32" s="9">
        <v>347.0</v>
      </c>
      <c r="BP32" s="9">
        <v>77.0</v>
      </c>
      <c r="BQ32" s="9">
        <v>48.0</v>
      </c>
      <c r="BR32" s="9">
        <v>31.0</v>
      </c>
      <c r="BS32" s="9">
        <v>11.0</v>
      </c>
      <c r="BT32" s="9">
        <v>37.0</v>
      </c>
      <c r="BU32" s="9">
        <v>0.0</v>
      </c>
      <c r="BV32" s="9">
        <v>31.0</v>
      </c>
      <c r="BW32" s="9">
        <v>0.0</v>
      </c>
      <c r="BX32" s="9">
        <v>0.0</v>
      </c>
      <c r="BY32" s="9">
        <v>0.0</v>
      </c>
      <c r="BZ32" s="9">
        <v>0.0</v>
      </c>
      <c r="CA32" s="9">
        <v>0.0</v>
      </c>
      <c r="CB32" s="9">
        <v>0.0</v>
      </c>
      <c r="CC32" s="9">
        <v>0.0</v>
      </c>
      <c r="CD32" s="9">
        <v>0.0</v>
      </c>
      <c r="CE32" s="9">
        <v>0.0</v>
      </c>
      <c r="CF32" s="9">
        <v>0.0</v>
      </c>
      <c r="CG32" s="9">
        <v>0.0</v>
      </c>
      <c r="CH32" s="9">
        <v>0.0</v>
      </c>
      <c r="CI32" s="4">
        <v>0.0</v>
      </c>
      <c r="CJ32" s="4">
        <v>0.0</v>
      </c>
      <c r="CK32" s="4">
        <v>0.0</v>
      </c>
      <c r="CL32" s="4">
        <v>0.0</v>
      </c>
      <c r="CM32" s="4">
        <v>0.0</v>
      </c>
      <c r="CN32" s="4">
        <v>0.0</v>
      </c>
      <c r="CO32" s="4">
        <v>0.0</v>
      </c>
      <c r="CP32" s="4">
        <v>0.0</v>
      </c>
      <c r="CQ32" s="4">
        <v>0.0</v>
      </c>
      <c r="CR32" s="4">
        <v>0.0</v>
      </c>
      <c r="CS32" s="4">
        <v>0.0</v>
      </c>
      <c r="CT32" s="4">
        <v>0.0</v>
      </c>
      <c r="CU32" s="4">
        <f t="shared" si="2"/>
        <v>14130</v>
      </c>
      <c r="CV32" s="9">
        <v>429.0</v>
      </c>
      <c r="CW32" s="9">
        <v>75.0</v>
      </c>
      <c r="CX32" s="4">
        <f t="shared" si="3"/>
        <v>504</v>
      </c>
    </row>
    <row r="33">
      <c r="A33" s="4">
        <v>32.0</v>
      </c>
      <c r="B33" s="4" t="s">
        <v>150</v>
      </c>
      <c r="C33" s="4" t="s">
        <v>151</v>
      </c>
      <c r="D33" s="4" t="s">
        <v>139</v>
      </c>
      <c r="E33" s="4">
        <v>2025.0</v>
      </c>
      <c r="F33" s="4">
        <v>11.7</v>
      </c>
      <c r="G33" s="4">
        <v>181.0</v>
      </c>
      <c r="H33" s="4">
        <v>430.0</v>
      </c>
      <c r="I33" s="4">
        <v>395.0</v>
      </c>
      <c r="J33" s="4">
        <v>370.0</v>
      </c>
      <c r="K33" s="4">
        <v>370.0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  <c r="T33" s="4">
        <v>333.0</v>
      </c>
      <c r="U33" s="4">
        <v>287.0</v>
      </c>
      <c r="V33" s="4">
        <v>0.0</v>
      </c>
      <c r="W33" s="4">
        <v>0.0</v>
      </c>
      <c r="X33" s="4">
        <v>0.0</v>
      </c>
      <c r="Y33" s="4">
        <v>0.0</v>
      </c>
      <c r="Z33" s="4">
        <v>0.0</v>
      </c>
      <c r="AA33" s="4">
        <v>0.0</v>
      </c>
      <c r="AB33" s="4">
        <v>0.0</v>
      </c>
      <c r="AC33" s="4">
        <v>0.0</v>
      </c>
      <c r="AD33" s="4">
        <v>16.0</v>
      </c>
      <c r="AE33" s="4">
        <v>0.0</v>
      </c>
      <c r="AF33" s="4">
        <v>0.0</v>
      </c>
      <c r="AG33" s="4">
        <v>0.0</v>
      </c>
      <c r="AH33" s="4">
        <v>0.0</v>
      </c>
      <c r="AI33" s="4">
        <v>0.0</v>
      </c>
      <c r="AJ33" s="4">
        <v>0.0</v>
      </c>
      <c r="AK33" s="4">
        <v>0.0</v>
      </c>
      <c r="AL33" s="4">
        <f t="shared" si="1"/>
        <v>2201</v>
      </c>
      <c r="AM33" s="4">
        <v>1211.0</v>
      </c>
      <c r="AN33" s="4">
        <v>303.0</v>
      </c>
      <c r="AO33" s="4">
        <v>1514.0</v>
      </c>
      <c r="AP33" s="4">
        <v>135.0</v>
      </c>
      <c r="AQ33" s="4">
        <v>1379.0</v>
      </c>
      <c r="AR33" s="4">
        <v>0.0</v>
      </c>
      <c r="AS33" s="4">
        <v>485.0</v>
      </c>
      <c r="AT33" s="4">
        <v>726.0</v>
      </c>
      <c r="AU33" s="4">
        <v>17.0</v>
      </c>
      <c r="AV33" s="4">
        <v>736.0</v>
      </c>
      <c r="AW33" s="4">
        <v>0.0</v>
      </c>
      <c r="AX33" s="4">
        <v>458.0</v>
      </c>
      <c r="AY33" s="4">
        <v>0.0</v>
      </c>
      <c r="AZ33" s="4">
        <v>0.0</v>
      </c>
      <c r="BA33" s="4">
        <v>0.0</v>
      </c>
      <c r="BB33" s="4">
        <v>0.0</v>
      </c>
      <c r="BC33" s="4">
        <v>0.0</v>
      </c>
      <c r="BD33" s="4">
        <v>0.0</v>
      </c>
      <c r="BE33" s="4">
        <v>0.0</v>
      </c>
      <c r="BF33" s="4">
        <v>0.0</v>
      </c>
      <c r="BG33" s="4">
        <v>0.0</v>
      </c>
      <c r="BH33" s="4">
        <v>0.0</v>
      </c>
      <c r="BI33" s="4">
        <v>0.0</v>
      </c>
      <c r="BJ33" s="4">
        <v>0.0</v>
      </c>
      <c r="BK33" s="4">
        <v>305.0</v>
      </c>
      <c r="BL33" s="4">
        <v>51.0</v>
      </c>
      <c r="BM33" s="4">
        <v>356.0</v>
      </c>
      <c r="BN33" s="4">
        <v>15.0</v>
      </c>
      <c r="BO33" s="4">
        <v>322.0</v>
      </c>
      <c r="BP33" s="4">
        <v>19.0</v>
      </c>
      <c r="BQ33" s="4">
        <v>32.0</v>
      </c>
      <c r="BR33" s="4">
        <v>171.0</v>
      </c>
      <c r="BS33" s="4">
        <v>0.0</v>
      </c>
      <c r="BT33" s="4">
        <v>1.0</v>
      </c>
      <c r="BU33" s="4">
        <v>0.0</v>
      </c>
      <c r="BV33" s="4">
        <v>202.0</v>
      </c>
      <c r="BW33" s="6">
        <v>11.0</v>
      </c>
      <c r="BX33" s="6">
        <v>3.0</v>
      </c>
      <c r="BY33" s="6">
        <v>14.0</v>
      </c>
      <c r="BZ33" s="6">
        <v>0.0</v>
      </c>
      <c r="CA33" s="6">
        <v>14.0</v>
      </c>
      <c r="CB33" s="6">
        <v>0.0</v>
      </c>
      <c r="CC33" s="6">
        <v>1.0</v>
      </c>
      <c r="CD33" s="6">
        <v>8.0</v>
      </c>
      <c r="CE33" s="6">
        <v>0.0</v>
      </c>
      <c r="CF33" s="6">
        <v>4.0</v>
      </c>
      <c r="CG33" s="6">
        <v>0.0</v>
      </c>
      <c r="CH33" s="6">
        <v>5.0</v>
      </c>
      <c r="CI33" s="4">
        <v>0.0</v>
      </c>
      <c r="CJ33" s="4">
        <v>0.0</v>
      </c>
      <c r="CK33" s="4">
        <v>0.0</v>
      </c>
      <c r="CL33" s="4">
        <v>0.0</v>
      </c>
      <c r="CM33" s="4">
        <v>0.0</v>
      </c>
      <c r="CN33" s="4">
        <v>0.0</v>
      </c>
      <c r="CO33" s="4">
        <v>0.0</v>
      </c>
      <c r="CP33" s="4">
        <v>0.0</v>
      </c>
      <c r="CQ33" s="4">
        <v>0.0</v>
      </c>
      <c r="CR33" s="4">
        <v>0.0</v>
      </c>
      <c r="CS33" s="4">
        <v>0.0</v>
      </c>
      <c r="CT33" s="4">
        <v>0.0</v>
      </c>
      <c r="CU33" s="4">
        <f t="shared" si="2"/>
        <v>1884</v>
      </c>
      <c r="CV33" s="4">
        <v>917.0</v>
      </c>
      <c r="CW33" s="4">
        <v>56.0</v>
      </c>
      <c r="CX33" s="4">
        <f t="shared" si="3"/>
        <v>973</v>
      </c>
    </row>
    <row r="34">
      <c r="A34" s="4">
        <v>33.0</v>
      </c>
      <c r="B34" s="4" t="s">
        <v>152</v>
      </c>
      <c r="C34" s="4" t="s">
        <v>153</v>
      </c>
      <c r="D34" s="4" t="s">
        <v>118</v>
      </c>
      <c r="E34" s="4">
        <v>2025.0</v>
      </c>
      <c r="F34" s="4">
        <v>16.49</v>
      </c>
      <c r="G34" s="4">
        <v>489.0</v>
      </c>
      <c r="H34" s="4">
        <v>1803.0</v>
      </c>
      <c r="I34" s="4">
        <v>1719.0</v>
      </c>
      <c r="J34" s="4">
        <v>1590.0</v>
      </c>
      <c r="K34" s="4">
        <v>1470.0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  <c r="T34" s="4">
        <v>108.0</v>
      </c>
      <c r="U34" s="4">
        <v>108.0</v>
      </c>
      <c r="V34" s="4">
        <v>0.0</v>
      </c>
      <c r="W34" s="4">
        <v>0.0</v>
      </c>
      <c r="X34" s="4">
        <v>0.0</v>
      </c>
      <c r="Y34" s="4">
        <v>0.0</v>
      </c>
      <c r="Z34" s="4">
        <v>0.0</v>
      </c>
      <c r="AA34" s="4">
        <v>0.0</v>
      </c>
      <c r="AB34" s="4">
        <v>0.0</v>
      </c>
      <c r="AC34" s="4">
        <v>0.0</v>
      </c>
      <c r="AD34" s="4">
        <v>0.0</v>
      </c>
      <c r="AE34" s="4">
        <v>0.0</v>
      </c>
      <c r="AF34" s="4">
        <v>0.0</v>
      </c>
      <c r="AG34" s="4">
        <v>0.0</v>
      </c>
      <c r="AH34" s="4">
        <v>0.0</v>
      </c>
      <c r="AI34" s="4">
        <v>0.0</v>
      </c>
      <c r="AJ34" s="4">
        <v>0.0</v>
      </c>
      <c r="AK34" s="4">
        <v>0.0</v>
      </c>
      <c r="AL34" s="4">
        <f t="shared" si="1"/>
        <v>6798</v>
      </c>
      <c r="AM34" s="4">
        <v>3135.0</v>
      </c>
      <c r="AN34" s="4">
        <v>3438.0</v>
      </c>
      <c r="AO34" s="4">
        <v>6573.0</v>
      </c>
      <c r="AP34" s="4">
        <v>1551.0</v>
      </c>
      <c r="AQ34" s="4">
        <v>4800.0</v>
      </c>
      <c r="AR34" s="4">
        <v>222.0</v>
      </c>
      <c r="AS34" s="4">
        <v>1230.0</v>
      </c>
      <c r="AT34" s="4">
        <v>5018.0</v>
      </c>
      <c r="AU34" s="4">
        <v>110.0</v>
      </c>
      <c r="AV34" s="4">
        <v>2800.0</v>
      </c>
      <c r="AW34" s="4">
        <v>303.0</v>
      </c>
      <c r="AX34" s="4">
        <v>3035.0</v>
      </c>
      <c r="AY34" s="4">
        <v>0.0</v>
      </c>
      <c r="AZ34" s="4">
        <v>0.0</v>
      </c>
      <c r="BA34" s="4">
        <v>0.0</v>
      </c>
      <c r="BB34" s="4">
        <v>0.0</v>
      </c>
      <c r="BC34" s="4">
        <v>0.0</v>
      </c>
      <c r="BD34" s="4">
        <v>0.0</v>
      </c>
      <c r="BE34" s="4">
        <v>0.0</v>
      </c>
      <c r="BF34" s="4">
        <v>0.0</v>
      </c>
      <c r="BG34" s="4">
        <v>0.0</v>
      </c>
      <c r="BH34" s="4">
        <v>0.0</v>
      </c>
      <c r="BI34" s="4">
        <v>0.0</v>
      </c>
      <c r="BJ34" s="4">
        <v>0.0</v>
      </c>
      <c r="BK34" s="4">
        <v>85.0</v>
      </c>
      <c r="BL34" s="4">
        <v>134.0</v>
      </c>
      <c r="BM34" s="4">
        <v>219.0</v>
      </c>
      <c r="BN34" s="4">
        <v>73.0</v>
      </c>
      <c r="BO34" s="4">
        <v>146.0</v>
      </c>
      <c r="BP34" s="4">
        <v>0.0</v>
      </c>
      <c r="BQ34" s="4">
        <v>59.0</v>
      </c>
      <c r="BR34" s="4">
        <v>121.0</v>
      </c>
      <c r="BS34" s="4">
        <v>18.0</v>
      </c>
      <c r="BT34" s="4">
        <v>67.0</v>
      </c>
      <c r="BU34" s="4">
        <v>23.0</v>
      </c>
      <c r="BV34" s="4">
        <v>72.0</v>
      </c>
      <c r="BW34" s="4">
        <v>0.0</v>
      </c>
      <c r="BX34" s="4">
        <v>0.0</v>
      </c>
      <c r="BY34" s="4">
        <v>0.0</v>
      </c>
      <c r="BZ34" s="4">
        <v>0.0</v>
      </c>
      <c r="CA34" s="4">
        <v>0.0</v>
      </c>
      <c r="CB34" s="4">
        <v>0.0</v>
      </c>
      <c r="CC34" s="4">
        <v>0.0</v>
      </c>
      <c r="CD34" s="4">
        <v>0.0</v>
      </c>
      <c r="CE34" s="4">
        <v>0.0</v>
      </c>
      <c r="CF34" s="4">
        <v>0.0</v>
      </c>
      <c r="CG34" s="4">
        <v>0.0</v>
      </c>
      <c r="CH34" s="4">
        <v>0.0</v>
      </c>
      <c r="CI34" s="4">
        <v>0.0</v>
      </c>
      <c r="CJ34" s="4">
        <v>0.0</v>
      </c>
      <c r="CK34" s="4">
        <v>0.0</v>
      </c>
      <c r="CL34" s="4">
        <v>0.0</v>
      </c>
      <c r="CM34" s="4">
        <v>0.0</v>
      </c>
      <c r="CN34" s="4">
        <v>0.0</v>
      </c>
      <c r="CO34" s="4">
        <v>0.0</v>
      </c>
      <c r="CP34" s="4">
        <v>0.0</v>
      </c>
      <c r="CQ34" s="4">
        <v>0.0</v>
      </c>
      <c r="CR34" s="4">
        <v>0.0</v>
      </c>
      <c r="CS34" s="4">
        <v>0.0</v>
      </c>
      <c r="CT34" s="4">
        <v>0.0</v>
      </c>
      <c r="CU34" s="4">
        <f t="shared" si="2"/>
        <v>6792</v>
      </c>
      <c r="CV34" s="4">
        <v>416.0</v>
      </c>
      <c r="CW34" s="4">
        <v>101.0</v>
      </c>
      <c r="CX34" s="4">
        <f t="shared" si="3"/>
        <v>517</v>
      </c>
    </row>
    <row r="35">
      <c r="A35" s="4">
        <v>34.0</v>
      </c>
      <c r="B35" s="4" t="s">
        <v>154</v>
      </c>
      <c r="C35" s="4" t="s">
        <v>155</v>
      </c>
      <c r="D35" s="4" t="s">
        <v>139</v>
      </c>
      <c r="E35" s="4">
        <v>2025.0</v>
      </c>
      <c r="F35" s="4">
        <v>11.0</v>
      </c>
      <c r="G35" s="4">
        <v>217.0</v>
      </c>
      <c r="H35" s="4">
        <v>365.0</v>
      </c>
      <c r="I35" s="4">
        <v>365.0</v>
      </c>
      <c r="J35" s="4">
        <v>365.0</v>
      </c>
      <c r="K35" s="4">
        <v>365.0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349.0</v>
      </c>
      <c r="U35" s="4">
        <v>325.0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  <c r="AG35" s="4">
        <v>0.0</v>
      </c>
      <c r="AH35" s="4">
        <v>0.0</v>
      </c>
      <c r="AI35" s="4">
        <v>0.0</v>
      </c>
      <c r="AJ35" s="4">
        <v>0.0</v>
      </c>
      <c r="AK35" s="4">
        <v>0.0</v>
      </c>
      <c r="AL35" s="4">
        <f t="shared" si="1"/>
        <v>2134</v>
      </c>
      <c r="AM35" s="4">
        <v>1565.0</v>
      </c>
      <c r="AN35" s="4">
        <v>316.0</v>
      </c>
      <c r="AO35" s="4">
        <v>1881.0</v>
      </c>
      <c r="AP35" s="4">
        <v>1480.0</v>
      </c>
      <c r="AQ35" s="4">
        <v>399.0</v>
      </c>
      <c r="AR35" s="4">
        <v>2.0</v>
      </c>
      <c r="AS35" s="4">
        <v>698.0</v>
      </c>
      <c r="AT35" s="4">
        <v>613.0</v>
      </c>
      <c r="AU35" s="4">
        <v>495.0</v>
      </c>
      <c r="AV35" s="4">
        <v>60.0</v>
      </c>
      <c r="AW35" s="4">
        <v>115.0</v>
      </c>
      <c r="AX35" s="4">
        <v>641.0</v>
      </c>
      <c r="AY35" s="4">
        <v>0.0</v>
      </c>
      <c r="AZ35" s="4">
        <v>0.0</v>
      </c>
      <c r="BA35" s="4">
        <v>0.0</v>
      </c>
      <c r="BB35" s="4">
        <v>0.0</v>
      </c>
      <c r="BC35" s="4">
        <v>0.0</v>
      </c>
      <c r="BD35" s="4">
        <v>0.0</v>
      </c>
      <c r="BE35" s="4">
        <v>0.0</v>
      </c>
      <c r="BF35" s="4">
        <v>0.0</v>
      </c>
      <c r="BG35" s="4">
        <v>0.0</v>
      </c>
      <c r="BH35" s="4">
        <v>0.0</v>
      </c>
      <c r="BI35" s="4">
        <v>0.0</v>
      </c>
      <c r="BJ35" s="4">
        <v>0.0</v>
      </c>
      <c r="BK35" s="4">
        <v>463.0</v>
      </c>
      <c r="BL35" s="4">
        <v>105.0</v>
      </c>
      <c r="BM35" s="4">
        <v>568.0</v>
      </c>
      <c r="BN35" s="4">
        <v>452.0</v>
      </c>
      <c r="BO35" s="4">
        <v>111.0</v>
      </c>
      <c r="BP35" s="4">
        <v>5.0</v>
      </c>
      <c r="BQ35" s="4">
        <v>111.0</v>
      </c>
      <c r="BR35" s="4">
        <v>165.0</v>
      </c>
      <c r="BS35" s="4">
        <v>142.0</v>
      </c>
      <c r="BT35" s="4">
        <v>1.0</v>
      </c>
      <c r="BU35" s="4">
        <v>9.0</v>
      </c>
      <c r="BV35" s="4">
        <v>124.0</v>
      </c>
      <c r="BW35" s="4">
        <v>0.0</v>
      </c>
      <c r="BX35" s="4">
        <v>0.0</v>
      </c>
      <c r="BY35" s="4">
        <v>0.0</v>
      </c>
      <c r="BZ35" s="4">
        <v>0.0</v>
      </c>
      <c r="CA35" s="4">
        <v>0.0</v>
      </c>
      <c r="CB35" s="4">
        <v>0.0</v>
      </c>
      <c r="CC35" s="4">
        <v>0.0</v>
      </c>
      <c r="CD35" s="4">
        <v>0.0</v>
      </c>
      <c r="CE35" s="4">
        <v>0.0</v>
      </c>
      <c r="CF35" s="4">
        <v>0.0</v>
      </c>
      <c r="CG35" s="4">
        <v>0.0</v>
      </c>
      <c r="CH35" s="4">
        <v>0.0</v>
      </c>
      <c r="CI35" s="4">
        <v>0.0</v>
      </c>
      <c r="CJ35" s="4">
        <v>0.0</v>
      </c>
      <c r="CK35" s="4">
        <v>0.0</v>
      </c>
      <c r="CL35" s="4">
        <v>0.0</v>
      </c>
      <c r="CM35" s="4">
        <v>0.0</v>
      </c>
      <c r="CN35" s="4">
        <v>0.0</v>
      </c>
      <c r="CO35" s="4">
        <v>0.0</v>
      </c>
      <c r="CP35" s="4">
        <v>0.0</v>
      </c>
      <c r="CQ35" s="4">
        <v>0.0</v>
      </c>
      <c r="CR35" s="4">
        <v>0.0</v>
      </c>
      <c r="CS35" s="4">
        <v>0.0</v>
      </c>
      <c r="CT35" s="4">
        <v>0.0</v>
      </c>
      <c r="CU35" s="4">
        <f t="shared" si="2"/>
        <v>2449</v>
      </c>
      <c r="CV35" s="4">
        <v>210.0</v>
      </c>
      <c r="CW35" s="4">
        <v>23.0</v>
      </c>
      <c r="CX35" s="4">
        <f t="shared" si="3"/>
        <v>233</v>
      </c>
    </row>
    <row r="36">
      <c r="A36" s="4">
        <v>35.0</v>
      </c>
      <c r="B36" s="4" t="s">
        <v>156</v>
      </c>
      <c r="C36" s="4" t="s">
        <v>157</v>
      </c>
      <c r="D36" s="4" t="s">
        <v>118</v>
      </c>
      <c r="E36" s="4">
        <v>2025.0</v>
      </c>
      <c r="F36" s="4">
        <v>18.65</v>
      </c>
      <c r="G36" s="4">
        <v>942.0</v>
      </c>
      <c r="H36" s="4">
        <v>3510.0</v>
      </c>
      <c r="I36" s="4">
        <v>3420.0</v>
      </c>
      <c r="J36" s="4">
        <v>3060.0</v>
      </c>
      <c r="K36" s="4">
        <v>3180.0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162.0</v>
      </c>
      <c r="U36" s="4">
        <v>252.0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0.0</v>
      </c>
      <c r="AG36" s="4">
        <v>0.0</v>
      </c>
      <c r="AH36" s="4">
        <v>0.0</v>
      </c>
      <c r="AI36" s="4">
        <v>0.0</v>
      </c>
      <c r="AJ36" s="4">
        <v>0.0</v>
      </c>
      <c r="AK36" s="4">
        <v>0.0</v>
      </c>
      <c r="AL36" s="4">
        <f t="shared" si="1"/>
        <v>13584</v>
      </c>
      <c r="AM36" s="4">
        <v>6313.0</v>
      </c>
      <c r="AN36" s="4">
        <v>6544.0</v>
      </c>
      <c r="AO36" s="4">
        <v>12857.0</v>
      </c>
      <c r="AP36" s="4">
        <v>4827.0</v>
      </c>
      <c r="AQ36" s="4">
        <v>7572.0</v>
      </c>
      <c r="AR36" s="4">
        <v>458.0</v>
      </c>
      <c r="AS36" s="4">
        <v>937.0</v>
      </c>
      <c r="AT36" s="4">
        <v>1542.0</v>
      </c>
      <c r="AU36" s="4">
        <v>0.0</v>
      </c>
      <c r="AV36" s="4">
        <v>1154.0</v>
      </c>
      <c r="AW36" s="4">
        <v>0.0</v>
      </c>
      <c r="AX36" s="4">
        <v>1325.0</v>
      </c>
      <c r="AY36" s="4">
        <v>0.0</v>
      </c>
      <c r="AZ36" s="4">
        <v>0.0</v>
      </c>
      <c r="BA36" s="4">
        <v>0.0</v>
      </c>
      <c r="BB36" s="4">
        <v>0.0</v>
      </c>
      <c r="BC36" s="4">
        <v>0.0</v>
      </c>
      <c r="BD36" s="4">
        <v>0.0</v>
      </c>
      <c r="BE36" s="4">
        <v>0.0</v>
      </c>
      <c r="BF36" s="4">
        <v>0.0</v>
      </c>
      <c r="BG36" s="4">
        <v>0.0</v>
      </c>
      <c r="BH36" s="4">
        <v>0.0</v>
      </c>
      <c r="BI36" s="4">
        <v>0.0</v>
      </c>
      <c r="BJ36" s="4">
        <v>0.0</v>
      </c>
      <c r="BK36" s="4">
        <v>209.0</v>
      </c>
      <c r="BL36" s="4">
        <v>205.0</v>
      </c>
      <c r="BM36" s="4">
        <v>414.0</v>
      </c>
      <c r="BN36" s="4">
        <v>192.0</v>
      </c>
      <c r="BO36" s="4">
        <v>216.0</v>
      </c>
      <c r="BP36" s="4">
        <v>6.0</v>
      </c>
      <c r="BQ36" s="4">
        <v>18.0</v>
      </c>
      <c r="BR36" s="4">
        <v>87.0</v>
      </c>
      <c r="BS36" s="4">
        <v>5.0</v>
      </c>
      <c r="BT36" s="4">
        <v>44.0</v>
      </c>
      <c r="BU36" s="4">
        <v>0.0</v>
      </c>
      <c r="BV36" s="4">
        <v>56.0</v>
      </c>
      <c r="BW36" s="4">
        <v>0.0</v>
      </c>
      <c r="BX36" s="4">
        <v>0.0</v>
      </c>
      <c r="BY36" s="4">
        <v>0.0</v>
      </c>
      <c r="BZ36" s="4">
        <v>0.0</v>
      </c>
      <c r="CA36" s="4">
        <v>0.0</v>
      </c>
      <c r="CB36" s="4">
        <v>0.0</v>
      </c>
      <c r="CC36" s="4">
        <v>0.0</v>
      </c>
      <c r="CD36" s="4">
        <v>0.0</v>
      </c>
      <c r="CE36" s="4">
        <v>0.0</v>
      </c>
      <c r="CF36" s="4">
        <v>0.0</v>
      </c>
      <c r="CG36" s="4">
        <v>0.0</v>
      </c>
      <c r="CH36" s="4">
        <v>0.0</v>
      </c>
      <c r="CI36" s="4">
        <v>0.0</v>
      </c>
      <c r="CJ36" s="4">
        <v>0.0</v>
      </c>
      <c r="CK36" s="4">
        <v>0.0</v>
      </c>
      <c r="CL36" s="4">
        <v>0.0</v>
      </c>
      <c r="CM36" s="4">
        <v>0.0</v>
      </c>
      <c r="CN36" s="4">
        <v>0.0</v>
      </c>
      <c r="CO36" s="4">
        <v>0.0</v>
      </c>
      <c r="CP36" s="4">
        <v>0.0</v>
      </c>
      <c r="CQ36" s="4">
        <v>0.0</v>
      </c>
      <c r="CR36" s="4">
        <v>0.0</v>
      </c>
      <c r="CS36" s="4">
        <v>0.0</v>
      </c>
      <c r="CT36" s="4">
        <v>0.0</v>
      </c>
      <c r="CU36" s="4">
        <f t="shared" si="2"/>
        <v>13271</v>
      </c>
      <c r="CV36" s="4">
        <v>503.0</v>
      </c>
      <c r="CW36" s="4">
        <v>438.0</v>
      </c>
      <c r="CX36" s="4">
        <f t="shared" si="3"/>
        <v>941</v>
      </c>
    </row>
    <row r="37">
      <c r="A37" s="4">
        <v>36.0</v>
      </c>
      <c r="B37" s="4" t="s">
        <v>158</v>
      </c>
      <c r="C37" s="4" t="s">
        <v>135</v>
      </c>
      <c r="D37" s="4" t="s">
        <v>118</v>
      </c>
      <c r="E37" s="4">
        <v>2025.0</v>
      </c>
      <c r="F37" s="4">
        <v>20.0</v>
      </c>
      <c r="G37" s="4">
        <v>1078.0</v>
      </c>
      <c r="H37" s="4">
        <v>3300.0</v>
      </c>
      <c r="I37" s="4">
        <v>3300.0</v>
      </c>
      <c r="J37" s="4">
        <v>3300.0</v>
      </c>
      <c r="K37" s="4">
        <v>3300.0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212.0</v>
      </c>
      <c r="U37" s="4">
        <v>212.0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  <c r="AG37" s="4">
        <v>0.0</v>
      </c>
      <c r="AH37" s="4">
        <v>0.0</v>
      </c>
      <c r="AI37" s="4">
        <v>0.0</v>
      </c>
      <c r="AJ37" s="4">
        <v>0.0</v>
      </c>
      <c r="AK37" s="4">
        <v>0.0</v>
      </c>
      <c r="AL37" s="4">
        <f t="shared" si="1"/>
        <v>13624</v>
      </c>
      <c r="AM37" s="4">
        <v>6826.0</v>
      </c>
      <c r="AN37" s="4">
        <v>6836.0</v>
      </c>
      <c r="AO37" s="4">
        <v>13662.0</v>
      </c>
      <c r="AP37" s="4">
        <v>97.0</v>
      </c>
      <c r="AQ37" s="4">
        <v>12467.0</v>
      </c>
      <c r="AR37" s="4">
        <v>1098.0</v>
      </c>
      <c r="AS37" s="4">
        <v>30.0</v>
      </c>
      <c r="AT37" s="4">
        <v>2293.0</v>
      </c>
      <c r="AU37" s="4">
        <v>338.0</v>
      </c>
      <c r="AV37" s="4">
        <v>753.0</v>
      </c>
      <c r="AW37" s="4">
        <v>840.0</v>
      </c>
      <c r="AX37" s="4">
        <v>392.0</v>
      </c>
      <c r="AY37" s="4">
        <v>0.0</v>
      </c>
      <c r="AZ37" s="4">
        <v>0.0</v>
      </c>
      <c r="BA37" s="4">
        <v>0.0</v>
      </c>
      <c r="BB37" s="4">
        <v>0.0</v>
      </c>
      <c r="BC37" s="4">
        <v>0.0</v>
      </c>
      <c r="BD37" s="4">
        <v>0.0</v>
      </c>
      <c r="BE37" s="4">
        <v>0.0</v>
      </c>
      <c r="BF37" s="4">
        <v>0.0</v>
      </c>
      <c r="BG37" s="4">
        <v>0.0</v>
      </c>
      <c r="BH37" s="4">
        <v>0.0</v>
      </c>
      <c r="BI37" s="4">
        <v>0.0</v>
      </c>
      <c r="BJ37" s="4">
        <v>0.0</v>
      </c>
      <c r="BK37" s="4">
        <v>91.0</v>
      </c>
      <c r="BL37" s="4">
        <v>133.0</v>
      </c>
      <c r="BM37" s="4">
        <v>224.0</v>
      </c>
      <c r="BN37" s="4">
        <v>8.0</v>
      </c>
      <c r="BO37" s="4">
        <v>174.0</v>
      </c>
      <c r="BP37" s="4">
        <v>42.0</v>
      </c>
      <c r="BQ37" s="4">
        <v>51.0</v>
      </c>
      <c r="BR37" s="4">
        <v>29.0</v>
      </c>
      <c r="BS37" s="4">
        <v>8.0</v>
      </c>
      <c r="BT37" s="4">
        <v>72.0</v>
      </c>
      <c r="BU37" s="4">
        <v>0.0</v>
      </c>
      <c r="BV37" s="4">
        <v>0.0</v>
      </c>
      <c r="BW37" s="4">
        <v>0.0</v>
      </c>
      <c r="BX37" s="4">
        <v>0.0</v>
      </c>
      <c r="BY37" s="4">
        <v>0.0</v>
      </c>
      <c r="BZ37" s="4">
        <v>0.0</v>
      </c>
      <c r="CA37" s="4">
        <v>0.0</v>
      </c>
      <c r="CB37" s="4">
        <v>0.0</v>
      </c>
      <c r="CC37" s="4">
        <v>0.0</v>
      </c>
      <c r="CD37" s="4">
        <v>0.0</v>
      </c>
      <c r="CE37" s="4">
        <v>0.0</v>
      </c>
      <c r="CF37" s="4">
        <v>0.0</v>
      </c>
      <c r="CG37" s="4">
        <v>0.0</v>
      </c>
      <c r="CH37" s="4">
        <v>0.0</v>
      </c>
      <c r="CI37" s="4">
        <v>0.0</v>
      </c>
      <c r="CJ37" s="4">
        <v>0.0</v>
      </c>
      <c r="CK37" s="4">
        <v>0.0</v>
      </c>
      <c r="CL37" s="4">
        <v>0.0</v>
      </c>
      <c r="CM37" s="4">
        <v>0.0</v>
      </c>
      <c r="CN37" s="4">
        <v>0.0</v>
      </c>
      <c r="CO37" s="4">
        <v>0.0</v>
      </c>
      <c r="CP37" s="4">
        <v>0.0</v>
      </c>
      <c r="CQ37" s="4">
        <v>0.0</v>
      </c>
      <c r="CR37" s="4">
        <v>0.0</v>
      </c>
      <c r="CS37" s="4">
        <v>0.0</v>
      </c>
      <c r="CT37" s="4">
        <v>0.0</v>
      </c>
      <c r="CU37" s="4">
        <f t="shared" si="2"/>
        <v>13886</v>
      </c>
      <c r="CV37" s="4">
        <v>1306.0</v>
      </c>
      <c r="CW37" s="4">
        <v>0.0</v>
      </c>
      <c r="CX37" s="4">
        <f t="shared" si="3"/>
        <v>1306</v>
      </c>
    </row>
    <row r="38">
      <c r="A38" s="4">
        <v>37.0</v>
      </c>
      <c r="B38" s="4" t="s">
        <v>159</v>
      </c>
      <c r="C38" s="4" t="s">
        <v>160</v>
      </c>
      <c r="D38" s="4" t="s">
        <v>146</v>
      </c>
      <c r="E38" s="4">
        <v>2025.0</v>
      </c>
      <c r="F38" s="4">
        <v>13.6</v>
      </c>
      <c r="G38" s="4">
        <v>409.0</v>
      </c>
      <c r="H38" s="4">
        <v>1830.0</v>
      </c>
      <c r="I38" s="4">
        <v>1775.0</v>
      </c>
      <c r="J38" s="4">
        <v>1450.0</v>
      </c>
      <c r="K38" s="4">
        <v>1140.0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297.0</v>
      </c>
      <c r="U38" s="4">
        <v>277.0</v>
      </c>
      <c r="V38" s="4">
        <v>0.0</v>
      </c>
      <c r="W38" s="4">
        <v>0.0</v>
      </c>
      <c r="X38" s="4">
        <v>0.0</v>
      </c>
      <c r="Y38" s="4">
        <v>0.0</v>
      </c>
      <c r="Z38" s="8">
        <v>0.0</v>
      </c>
      <c r="AA38" s="8">
        <v>0.0</v>
      </c>
      <c r="AB38" s="8">
        <v>0.0</v>
      </c>
      <c r="AC38" s="8">
        <v>0.0</v>
      </c>
      <c r="AD38" s="8">
        <v>0.0</v>
      </c>
      <c r="AE38" s="8">
        <v>0.0</v>
      </c>
      <c r="AF38" s="6">
        <v>70.0</v>
      </c>
      <c r="AG38" s="6">
        <v>100.0</v>
      </c>
      <c r="AH38" s="6">
        <v>75.0</v>
      </c>
      <c r="AI38" s="6">
        <v>45.0</v>
      </c>
      <c r="AJ38" s="6">
        <v>60.0</v>
      </c>
      <c r="AK38" s="6">
        <v>0.0</v>
      </c>
      <c r="AL38" s="4">
        <f t="shared" si="1"/>
        <v>7119</v>
      </c>
      <c r="AM38" s="4">
        <v>3159.0</v>
      </c>
      <c r="AN38" s="4">
        <v>1903.0</v>
      </c>
      <c r="AO38" s="4">
        <v>5062.0</v>
      </c>
      <c r="AP38" s="4">
        <v>1336.0</v>
      </c>
      <c r="AQ38" s="4">
        <v>3692.0</v>
      </c>
      <c r="AR38" s="4">
        <v>34.0</v>
      </c>
      <c r="AS38" s="4">
        <v>111.0</v>
      </c>
      <c r="AT38" s="4">
        <v>748.0</v>
      </c>
      <c r="AU38" s="4">
        <v>0.0</v>
      </c>
      <c r="AV38" s="4">
        <v>89.0</v>
      </c>
      <c r="AW38" s="4">
        <v>0.0</v>
      </c>
      <c r="AX38" s="4">
        <v>770.0</v>
      </c>
      <c r="AY38" s="4">
        <v>0.0</v>
      </c>
      <c r="AZ38" s="4">
        <v>0.0</v>
      </c>
      <c r="BA38" s="4">
        <v>0.0</v>
      </c>
      <c r="BB38" s="4">
        <v>0.0</v>
      </c>
      <c r="BC38" s="4">
        <v>0.0</v>
      </c>
      <c r="BD38" s="4">
        <v>0.0</v>
      </c>
      <c r="BE38" s="4">
        <v>0.0</v>
      </c>
      <c r="BF38" s="4">
        <v>0.0</v>
      </c>
      <c r="BG38" s="4">
        <v>0.0</v>
      </c>
      <c r="BH38" s="4">
        <v>0.0</v>
      </c>
      <c r="BI38" s="4">
        <v>0.0</v>
      </c>
      <c r="BJ38" s="4">
        <v>0.0</v>
      </c>
      <c r="BK38" s="4">
        <v>183.0</v>
      </c>
      <c r="BL38" s="4">
        <v>106.0</v>
      </c>
      <c r="BM38" s="4">
        <v>289.0</v>
      </c>
      <c r="BN38" s="4">
        <v>106.0</v>
      </c>
      <c r="BO38" s="4">
        <v>177.0</v>
      </c>
      <c r="BP38" s="4">
        <v>6.0</v>
      </c>
      <c r="BQ38" s="4">
        <v>58.0</v>
      </c>
      <c r="BR38" s="4">
        <v>76.0</v>
      </c>
      <c r="BS38" s="4">
        <v>0.0</v>
      </c>
      <c r="BT38" s="4">
        <v>5.0</v>
      </c>
      <c r="BU38" s="4">
        <v>0.0</v>
      </c>
      <c r="BV38" s="4">
        <v>129.0</v>
      </c>
      <c r="BW38" s="4">
        <v>0.0</v>
      </c>
      <c r="BX38" s="4">
        <v>0.0</v>
      </c>
      <c r="BY38" s="4">
        <v>0.0</v>
      </c>
      <c r="BZ38" s="4">
        <v>0.0</v>
      </c>
      <c r="CA38" s="4">
        <v>0.0</v>
      </c>
      <c r="CB38" s="4">
        <v>0.0</v>
      </c>
      <c r="CC38" s="4">
        <v>0.0</v>
      </c>
      <c r="CD38" s="4">
        <v>0.0</v>
      </c>
      <c r="CE38" s="4">
        <v>0.0</v>
      </c>
      <c r="CF38" s="4">
        <v>0.0</v>
      </c>
      <c r="CG38" s="4">
        <v>0.0</v>
      </c>
      <c r="CH38" s="4">
        <v>0.0</v>
      </c>
      <c r="CI38" s="6">
        <v>123.0</v>
      </c>
      <c r="CJ38" s="6">
        <v>115.0</v>
      </c>
      <c r="CK38" s="6">
        <v>238.0</v>
      </c>
      <c r="CL38" s="6">
        <v>60.0</v>
      </c>
      <c r="CM38" s="6">
        <v>175.0</v>
      </c>
      <c r="CN38" s="6">
        <v>3.0</v>
      </c>
      <c r="CO38" s="6">
        <v>6.0</v>
      </c>
      <c r="CP38" s="6">
        <v>36.0</v>
      </c>
      <c r="CQ38" s="6">
        <v>0.0</v>
      </c>
      <c r="CR38" s="6">
        <v>4.0</v>
      </c>
      <c r="CS38" s="6">
        <v>0.0</v>
      </c>
      <c r="CT38" s="6">
        <v>38.0</v>
      </c>
      <c r="CU38" s="4">
        <f t="shared" si="2"/>
        <v>5589</v>
      </c>
      <c r="CV38" s="4">
        <v>341.0</v>
      </c>
      <c r="CW38" s="4">
        <v>662.0</v>
      </c>
      <c r="CX38" s="4">
        <f t="shared" si="3"/>
        <v>1003</v>
      </c>
    </row>
    <row r="39">
      <c r="A39" s="4">
        <v>38.0</v>
      </c>
      <c r="B39" s="4" t="s">
        <v>161</v>
      </c>
      <c r="C39" s="4" t="s">
        <v>110</v>
      </c>
      <c r="D39" s="4" t="s">
        <v>162</v>
      </c>
      <c r="E39" s="4">
        <v>2025.0</v>
      </c>
      <c r="F39" s="4">
        <v>9.08</v>
      </c>
      <c r="G39" s="4">
        <v>141.0</v>
      </c>
      <c r="H39" s="4">
        <v>200.0</v>
      </c>
      <c r="I39" s="4">
        <v>210.0</v>
      </c>
      <c r="J39" s="4">
        <v>210.0</v>
      </c>
      <c r="K39" s="4">
        <v>205.0</v>
      </c>
      <c r="L39" s="4">
        <v>0.0</v>
      </c>
      <c r="M39" s="4">
        <v>0.0</v>
      </c>
      <c r="N39" s="4">
        <v>110.0</v>
      </c>
      <c r="O39" s="4">
        <v>120.0</v>
      </c>
      <c r="P39" s="4">
        <v>120.0</v>
      </c>
      <c r="Q39" s="4">
        <v>105.0</v>
      </c>
      <c r="R39" s="4">
        <v>121.0</v>
      </c>
      <c r="S39" s="4">
        <v>0.0</v>
      </c>
      <c r="T39" s="4">
        <v>135.0</v>
      </c>
      <c r="U39" s="4">
        <v>180.0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  <c r="AG39" s="4">
        <v>0.0</v>
      </c>
      <c r="AH39" s="4">
        <v>0.0</v>
      </c>
      <c r="AI39" s="4">
        <v>0.0</v>
      </c>
      <c r="AJ39" s="4">
        <v>0.0</v>
      </c>
      <c r="AK39" s="4">
        <v>0.0</v>
      </c>
      <c r="AL39" s="4">
        <f t="shared" si="1"/>
        <v>1716</v>
      </c>
      <c r="AM39" s="4">
        <v>558.0</v>
      </c>
      <c r="AN39" s="4">
        <v>207.0</v>
      </c>
      <c r="AO39" s="4">
        <v>765.0</v>
      </c>
      <c r="AP39" s="4">
        <v>159.0</v>
      </c>
      <c r="AQ39" s="4">
        <v>487.0</v>
      </c>
      <c r="AR39" s="4">
        <v>119.0</v>
      </c>
      <c r="AS39" s="4">
        <v>72.0</v>
      </c>
      <c r="AT39" s="4">
        <v>85.0</v>
      </c>
      <c r="AU39" s="4">
        <v>0.0</v>
      </c>
      <c r="AV39" s="4">
        <v>89.0</v>
      </c>
      <c r="AW39" s="4">
        <v>1.0</v>
      </c>
      <c r="AX39" s="4">
        <v>67.0</v>
      </c>
      <c r="AY39" s="4">
        <v>478.0</v>
      </c>
      <c r="AZ39" s="4">
        <v>92.0</v>
      </c>
      <c r="BA39" s="4">
        <v>570.0</v>
      </c>
      <c r="BB39" s="4">
        <v>84.0</v>
      </c>
      <c r="BC39" s="4">
        <v>464.0</v>
      </c>
      <c r="BD39" s="4">
        <v>22.0</v>
      </c>
      <c r="BE39" s="4">
        <v>94.0</v>
      </c>
      <c r="BF39" s="4">
        <v>56.0</v>
      </c>
      <c r="BG39" s="4">
        <v>14.0</v>
      </c>
      <c r="BH39" s="4">
        <v>102.0</v>
      </c>
      <c r="BI39" s="4">
        <v>34.0</v>
      </c>
      <c r="BJ39" s="4">
        <v>0.0</v>
      </c>
      <c r="BK39" s="4">
        <v>237.0</v>
      </c>
      <c r="BL39" s="4">
        <v>49.0</v>
      </c>
      <c r="BM39" s="4">
        <v>286.0</v>
      </c>
      <c r="BN39" s="4">
        <v>49.0</v>
      </c>
      <c r="BO39" s="4">
        <v>237.0</v>
      </c>
      <c r="BP39" s="4">
        <v>0.0</v>
      </c>
      <c r="BQ39" s="4">
        <v>53.0</v>
      </c>
      <c r="BR39" s="4">
        <v>52.0</v>
      </c>
      <c r="BS39" s="4">
        <v>25.0</v>
      </c>
      <c r="BT39" s="4">
        <v>16.0</v>
      </c>
      <c r="BU39" s="4">
        <v>0.0</v>
      </c>
      <c r="BV39" s="4">
        <v>64.0</v>
      </c>
      <c r="BW39" s="4">
        <v>0.0</v>
      </c>
      <c r="BX39" s="4">
        <v>0.0</v>
      </c>
      <c r="BY39" s="4">
        <v>0.0</v>
      </c>
      <c r="BZ39" s="4">
        <v>0.0</v>
      </c>
      <c r="CA39" s="4">
        <v>0.0</v>
      </c>
      <c r="CB39" s="4">
        <v>0.0</v>
      </c>
      <c r="CC39" s="4">
        <v>0.0</v>
      </c>
      <c r="CD39" s="4">
        <v>0.0</v>
      </c>
      <c r="CE39" s="4">
        <v>0.0</v>
      </c>
      <c r="CF39" s="4">
        <v>0.0</v>
      </c>
      <c r="CG39" s="4">
        <v>0.0</v>
      </c>
      <c r="CH39" s="4">
        <v>0.0</v>
      </c>
      <c r="CI39" s="4">
        <v>0.0</v>
      </c>
      <c r="CJ39" s="4">
        <v>0.0</v>
      </c>
      <c r="CK39" s="4">
        <v>0.0</v>
      </c>
      <c r="CL39" s="4">
        <v>0.0</v>
      </c>
      <c r="CM39" s="4">
        <v>0.0</v>
      </c>
      <c r="CN39" s="4">
        <v>0.0</v>
      </c>
      <c r="CO39" s="4">
        <v>0.0</v>
      </c>
      <c r="CP39" s="4">
        <v>0.0</v>
      </c>
      <c r="CQ39" s="4">
        <v>0.0</v>
      </c>
      <c r="CR39" s="4">
        <v>0.0</v>
      </c>
      <c r="CS39" s="4">
        <v>0.0</v>
      </c>
      <c r="CT39" s="4">
        <v>0.0</v>
      </c>
      <c r="CU39" s="4">
        <f t="shared" si="2"/>
        <v>1621</v>
      </c>
      <c r="CV39" s="4">
        <v>128.0</v>
      </c>
      <c r="CW39" s="4">
        <v>40.0</v>
      </c>
      <c r="CX39" s="4">
        <f t="shared" si="3"/>
        <v>168</v>
      </c>
    </row>
    <row r="40">
      <c r="A40" s="4">
        <v>39.0</v>
      </c>
      <c r="B40" s="4" t="s">
        <v>163</v>
      </c>
      <c r="C40" s="4" t="s">
        <v>164</v>
      </c>
      <c r="D40" s="4" t="s">
        <v>139</v>
      </c>
      <c r="E40" s="4">
        <v>2025.0</v>
      </c>
      <c r="F40" s="4">
        <v>11.05</v>
      </c>
      <c r="G40" s="4">
        <v>201.0</v>
      </c>
      <c r="H40" s="4">
        <v>353.0</v>
      </c>
      <c r="I40" s="4">
        <v>355.0</v>
      </c>
      <c r="J40" s="4">
        <v>355.0</v>
      </c>
      <c r="K40" s="4">
        <v>355.0</v>
      </c>
      <c r="L40" s="4">
        <v>0.0</v>
      </c>
      <c r="M40" s="4">
        <v>0.0</v>
      </c>
      <c r="N40" s="4">
        <v>123.0</v>
      </c>
      <c r="O40" s="4">
        <v>120.0</v>
      </c>
      <c r="P40" s="4">
        <v>120.0</v>
      </c>
      <c r="Q40" s="4">
        <v>120.0</v>
      </c>
      <c r="R40" s="4">
        <v>108.0</v>
      </c>
      <c r="S40" s="4">
        <v>0.0</v>
      </c>
      <c r="T40" s="4">
        <v>296.0</v>
      </c>
      <c r="U40" s="4">
        <v>246.0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0.0</v>
      </c>
      <c r="AB40" s="4">
        <v>0.0</v>
      </c>
      <c r="AC40" s="4">
        <v>0.0</v>
      </c>
      <c r="AD40" s="4">
        <v>0.0</v>
      </c>
      <c r="AE40" s="4">
        <v>0.0</v>
      </c>
      <c r="AF40" s="4">
        <v>0.0</v>
      </c>
      <c r="AG40" s="4">
        <v>0.0</v>
      </c>
      <c r="AH40" s="4">
        <v>0.0</v>
      </c>
      <c r="AI40" s="4">
        <v>0.0</v>
      </c>
      <c r="AJ40" s="4">
        <v>0.0</v>
      </c>
      <c r="AK40" s="4">
        <v>0.0</v>
      </c>
      <c r="AL40" s="4">
        <f t="shared" si="1"/>
        <v>2551</v>
      </c>
      <c r="AM40" s="4">
        <v>1069.0</v>
      </c>
      <c r="AN40" s="4">
        <v>272.0</v>
      </c>
      <c r="AO40" s="4">
        <v>1341.0</v>
      </c>
      <c r="AP40" s="4">
        <v>61.0</v>
      </c>
      <c r="AQ40" s="4">
        <v>1280.0</v>
      </c>
      <c r="AR40" s="4">
        <v>0.0</v>
      </c>
      <c r="AS40" s="4">
        <v>158.0</v>
      </c>
      <c r="AT40" s="4">
        <v>690.0</v>
      </c>
      <c r="AU40" s="4">
        <v>338.0</v>
      </c>
      <c r="AV40" s="4">
        <v>273.0</v>
      </c>
      <c r="AW40" s="4">
        <v>9.0</v>
      </c>
      <c r="AX40" s="4">
        <v>228.0</v>
      </c>
      <c r="AY40" s="4">
        <v>436.0</v>
      </c>
      <c r="AZ40" s="4">
        <v>112.0</v>
      </c>
      <c r="BA40" s="4">
        <v>548.0</v>
      </c>
      <c r="BB40" s="4">
        <v>28.0</v>
      </c>
      <c r="BC40" s="4">
        <v>520.0</v>
      </c>
      <c r="BD40" s="4">
        <v>0.0</v>
      </c>
      <c r="BE40" s="4">
        <v>55.0</v>
      </c>
      <c r="BF40" s="4">
        <v>287.0</v>
      </c>
      <c r="BG40" s="4">
        <v>132.0</v>
      </c>
      <c r="BH40" s="4">
        <v>154.0</v>
      </c>
      <c r="BI40" s="4">
        <v>0.0</v>
      </c>
      <c r="BJ40" s="4">
        <v>56.0</v>
      </c>
      <c r="BK40" s="4">
        <v>334.0</v>
      </c>
      <c r="BL40" s="4">
        <v>58.0</v>
      </c>
      <c r="BM40" s="4">
        <v>392.0</v>
      </c>
      <c r="BN40" s="4">
        <v>60.0</v>
      </c>
      <c r="BO40" s="4">
        <v>330.0</v>
      </c>
      <c r="BP40" s="4">
        <v>2.0</v>
      </c>
      <c r="BQ40" s="4">
        <v>33.0</v>
      </c>
      <c r="BR40" s="4">
        <v>210.0</v>
      </c>
      <c r="BS40" s="4">
        <v>63.0</v>
      </c>
      <c r="BT40" s="4">
        <v>180.0</v>
      </c>
      <c r="BU40" s="4">
        <v>0.0</v>
      </c>
      <c r="BV40" s="4">
        <v>0.0</v>
      </c>
      <c r="BW40" s="4">
        <v>0.0</v>
      </c>
      <c r="BX40" s="4">
        <v>0.0</v>
      </c>
      <c r="BY40" s="4">
        <v>0.0</v>
      </c>
      <c r="BZ40" s="4">
        <v>0.0</v>
      </c>
      <c r="CA40" s="4">
        <v>0.0</v>
      </c>
      <c r="CB40" s="4">
        <v>0.0</v>
      </c>
      <c r="CC40" s="4">
        <v>0.0</v>
      </c>
      <c r="CD40" s="4">
        <v>0.0</v>
      </c>
      <c r="CE40" s="4">
        <v>0.0</v>
      </c>
      <c r="CF40" s="4">
        <v>0.0</v>
      </c>
      <c r="CG40" s="4">
        <v>0.0</v>
      </c>
      <c r="CH40" s="4">
        <v>0.0</v>
      </c>
      <c r="CI40" s="4">
        <v>0.0</v>
      </c>
      <c r="CJ40" s="4">
        <v>0.0</v>
      </c>
      <c r="CK40" s="4">
        <v>0.0</v>
      </c>
      <c r="CL40" s="4">
        <v>0.0</v>
      </c>
      <c r="CM40" s="4">
        <v>0.0</v>
      </c>
      <c r="CN40" s="4">
        <v>0.0</v>
      </c>
      <c r="CO40" s="4">
        <v>0.0</v>
      </c>
      <c r="CP40" s="4">
        <v>0.0</v>
      </c>
      <c r="CQ40" s="4">
        <v>0.0</v>
      </c>
      <c r="CR40" s="4">
        <v>0.0</v>
      </c>
      <c r="CS40" s="4">
        <v>0.0</v>
      </c>
      <c r="CT40" s="4">
        <v>0.0</v>
      </c>
      <c r="CU40" s="4">
        <f t="shared" si="2"/>
        <v>2281</v>
      </c>
      <c r="CV40" s="4">
        <v>450.0</v>
      </c>
      <c r="CW40" s="4">
        <v>0.0</v>
      </c>
      <c r="CX40" s="4">
        <f t="shared" si="3"/>
        <v>450</v>
      </c>
    </row>
    <row r="41">
      <c r="A41" s="4">
        <v>40.0</v>
      </c>
      <c r="B41" s="4" t="s">
        <v>165</v>
      </c>
      <c r="C41" s="4" t="s">
        <v>166</v>
      </c>
      <c r="D41" s="4" t="s">
        <v>118</v>
      </c>
      <c r="E41" s="4">
        <v>2025.0</v>
      </c>
      <c r="F41" s="4">
        <v>17.5</v>
      </c>
      <c r="G41" s="4">
        <v>680.0</v>
      </c>
      <c r="H41" s="4">
        <v>2605.0</v>
      </c>
      <c r="I41" s="4">
        <v>2220.0</v>
      </c>
      <c r="J41" s="4">
        <v>1980.0</v>
      </c>
      <c r="K41" s="4">
        <v>1920.0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99.0</v>
      </c>
      <c r="U41" s="4">
        <v>81.0</v>
      </c>
      <c r="V41" s="4">
        <v>0.0</v>
      </c>
      <c r="W41" s="4">
        <v>0.0</v>
      </c>
      <c r="X41" s="4">
        <v>0.0</v>
      </c>
      <c r="Y41" s="4">
        <v>0.0</v>
      </c>
      <c r="Z41" s="8">
        <v>0.0</v>
      </c>
      <c r="AA41" s="8">
        <v>0.0</v>
      </c>
      <c r="AB41" s="8">
        <v>0.0</v>
      </c>
      <c r="AC41" s="8">
        <v>0.0</v>
      </c>
      <c r="AD41" s="8">
        <v>0.0</v>
      </c>
      <c r="AE41" s="8">
        <v>0.0</v>
      </c>
      <c r="AF41" s="6">
        <v>76.0</v>
      </c>
      <c r="AG41" s="6">
        <v>48.0</v>
      </c>
      <c r="AH41" s="6">
        <v>48.0</v>
      </c>
      <c r="AI41" s="6">
        <v>48.0</v>
      </c>
      <c r="AJ41" s="6">
        <v>48.0</v>
      </c>
      <c r="AK41" s="6">
        <v>0.0</v>
      </c>
      <c r="AL41" s="4">
        <f t="shared" si="1"/>
        <v>9173</v>
      </c>
      <c r="AM41" s="4">
        <v>4861.0</v>
      </c>
      <c r="AN41" s="4">
        <v>4104.0</v>
      </c>
      <c r="AO41" s="4">
        <v>8965.0</v>
      </c>
      <c r="AP41" s="4">
        <v>2187.0</v>
      </c>
      <c r="AQ41" s="4">
        <v>7658.0</v>
      </c>
      <c r="AR41" s="4">
        <v>20.0</v>
      </c>
      <c r="AS41" s="4">
        <v>2618.0</v>
      </c>
      <c r="AT41" s="4">
        <v>1924.0</v>
      </c>
      <c r="AU41" s="4">
        <v>160.0</v>
      </c>
      <c r="AV41" s="4">
        <v>2744.0</v>
      </c>
      <c r="AW41" s="4">
        <v>24.0</v>
      </c>
      <c r="AX41" s="4">
        <v>1614.0</v>
      </c>
      <c r="AY41" s="4">
        <v>0.0</v>
      </c>
      <c r="AZ41" s="4">
        <v>0.0</v>
      </c>
      <c r="BA41" s="4">
        <v>0.0</v>
      </c>
      <c r="BB41" s="4">
        <v>0.0</v>
      </c>
      <c r="BC41" s="4">
        <v>0.0</v>
      </c>
      <c r="BD41" s="4">
        <v>0.0</v>
      </c>
      <c r="BE41" s="4">
        <v>0.0</v>
      </c>
      <c r="BF41" s="4">
        <v>0.0</v>
      </c>
      <c r="BG41" s="4">
        <v>0.0</v>
      </c>
      <c r="BH41" s="4">
        <v>0.0</v>
      </c>
      <c r="BI41" s="4">
        <v>0.0</v>
      </c>
      <c r="BJ41" s="4">
        <v>0.0</v>
      </c>
      <c r="BK41" s="4">
        <v>112.0</v>
      </c>
      <c r="BL41" s="4">
        <v>74.0</v>
      </c>
      <c r="BM41" s="4">
        <v>186.0</v>
      </c>
      <c r="BN41" s="4">
        <v>154.0</v>
      </c>
      <c r="BO41" s="4">
        <v>32.0</v>
      </c>
      <c r="BP41" s="4">
        <v>0.0</v>
      </c>
      <c r="BQ41" s="4">
        <v>51.0</v>
      </c>
      <c r="BR41" s="4">
        <v>45.0</v>
      </c>
      <c r="BS41" s="4">
        <v>10.0</v>
      </c>
      <c r="BT41" s="4">
        <v>5.0</v>
      </c>
      <c r="BU41" s="4">
        <v>3.0</v>
      </c>
      <c r="BV41" s="4">
        <v>78.0</v>
      </c>
      <c r="BW41" s="4">
        <v>0.0</v>
      </c>
      <c r="BX41" s="4">
        <v>0.0</v>
      </c>
      <c r="BY41" s="4">
        <v>0.0</v>
      </c>
      <c r="BZ41" s="4">
        <v>0.0</v>
      </c>
      <c r="CA41" s="4">
        <v>0.0</v>
      </c>
      <c r="CB41" s="4">
        <v>0.0</v>
      </c>
      <c r="CC41" s="4">
        <v>0.0</v>
      </c>
      <c r="CD41" s="4">
        <v>0.0</v>
      </c>
      <c r="CE41" s="4">
        <v>0.0</v>
      </c>
      <c r="CF41" s="4">
        <v>0.0</v>
      </c>
      <c r="CG41" s="4">
        <v>0.0</v>
      </c>
      <c r="CH41" s="4">
        <v>0.0</v>
      </c>
      <c r="CI41" s="6">
        <v>69.0</v>
      </c>
      <c r="CJ41" s="6">
        <v>149.0</v>
      </c>
      <c r="CK41" s="6">
        <v>218.0</v>
      </c>
      <c r="CL41" s="6">
        <v>201.0</v>
      </c>
      <c r="CM41" s="6">
        <v>17.0</v>
      </c>
      <c r="CN41" s="6">
        <v>0.0</v>
      </c>
      <c r="CO41" s="6">
        <v>68.0</v>
      </c>
      <c r="CP41" s="6">
        <v>43.0</v>
      </c>
      <c r="CQ41" s="6">
        <v>3.0</v>
      </c>
      <c r="CR41" s="6">
        <v>8.0</v>
      </c>
      <c r="CS41" s="6">
        <v>2.0</v>
      </c>
      <c r="CT41" s="6">
        <v>98.0</v>
      </c>
      <c r="CU41" s="4">
        <f t="shared" si="2"/>
        <v>9369</v>
      </c>
      <c r="CV41" s="4">
        <v>652.0</v>
      </c>
      <c r="CW41" s="4">
        <v>112.0</v>
      </c>
      <c r="CX41" s="4">
        <f t="shared" si="3"/>
        <v>764</v>
      </c>
    </row>
    <row r="42">
      <c r="A42" s="4">
        <v>41.0</v>
      </c>
      <c r="B42" s="4" t="s">
        <v>167</v>
      </c>
      <c r="C42" s="4" t="s">
        <v>106</v>
      </c>
      <c r="D42" s="4" t="s">
        <v>118</v>
      </c>
      <c r="E42" s="4">
        <v>2025.0</v>
      </c>
      <c r="F42" s="4">
        <v>11.5</v>
      </c>
      <c r="G42" s="4">
        <v>183.0</v>
      </c>
      <c r="H42" s="4">
        <v>211.0</v>
      </c>
      <c r="I42" s="4">
        <v>211.0</v>
      </c>
      <c r="J42" s="4">
        <v>211.0</v>
      </c>
      <c r="K42" s="4">
        <v>211.0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385.0</v>
      </c>
      <c r="U42" s="4">
        <v>385.0</v>
      </c>
      <c r="V42" s="4">
        <v>0.0</v>
      </c>
      <c r="W42" s="4">
        <v>0.0</v>
      </c>
      <c r="X42" s="4">
        <v>0.0</v>
      </c>
      <c r="Y42" s="4">
        <v>0.0</v>
      </c>
      <c r="Z42" s="8">
        <v>0.0</v>
      </c>
      <c r="AA42" s="8">
        <v>0.0</v>
      </c>
      <c r="AB42" s="8">
        <v>0.0</v>
      </c>
      <c r="AC42" s="8">
        <v>0.0</v>
      </c>
      <c r="AD42" s="8">
        <v>0.0</v>
      </c>
      <c r="AE42" s="8">
        <v>0.0</v>
      </c>
      <c r="AF42" s="6">
        <v>120.0</v>
      </c>
      <c r="AG42" s="6">
        <v>120.0</v>
      </c>
      <c r="AH42" s="6">
        <v>120.0</v>
      </c>
      <c r="AI42" s="6">
        <v>120.0</v>
      </c>
      <c r="AJ42" s="6">
        <v>120.0</v>
      </c>
      <c r="AK42" s="6">
        <v>0.0</v>
      </c>
      <c r="AL42" s="4">
        <f t="shared" si="1"/>
        <v>2214</v>
      </c>
      <c r="AM42" s="4">
        <v>669.0</v>
      </c>
      <c r="AN42" s="4">
        <v>271.0</v>
      </c>
      <c r="AO42" s="4">
        <v>940.0</v>
      </c>
      <c r="AP42" s="4">
        <v>827.0</v>
      </c>
      <c r="AQ42" s="4">
        <v>110.0</v>
      </c>
      <c r="AR42" s="4">
        <v>3.0</v>
      </c>
      <c r="AS42" s="4">
        <v>119.0</v>
      </c>
      <c r="AT42" s="4">
        <v>319.0</v>
      </c>
      <c r="AU42" s="4">
        <v>258.0</v>
      </c>
      <c r="AV42" s="4">
        <v>0.0</v>
      </c>
      <c r="AW42" s="4">
        <v>51.0</v>
      </c>
      <c r="AX42" s="4">
        <v>129.0</v>
      </c>
      <c r="AY42" s="4">
        <v>0.0</v>
      </c>
      <c r="AZ42" s="4">
        <v>0.0</v>
      </c>
      <c r="BA42" s="4">
        <v>0.0</v>
      </c>
      <c r="BB42" s="4">
        <v>0.0</v>
      </c>
      <c r="BC42" s="4">
        <v>0.0</v>
      </c>
      <c r="BD42" s="4">
        <v>0.0</v>
      </c>
      <c r="BE42" s="4">
        <v>0.0</v>
      </c>
      <c r="BF42" s="4">
        <v>0.0</v>
      </c>
      <c r="BG42" s="4">
        <v>0.0</v>
      </c>
      <c r="BH42" s="4">
        <v>0.0</v>
      </c>
      <c r="BI42" s="4">
        <v>0.0</v>
      </c>
      <c r="BJ42" s="4">
        <v>0.0</v>
      </c>
      <c r="BK42" s="4">
        <v>310.0</v>
      </c>
      <c r="BL42" s="4">
        <v>270.0</v>
      </c>
      <c r="BM42" s="4">
        <v>580.0</v>
      </c>
      <c r="BN42" s="4">
        <v>413.0</v>
      </c>
      <c r="BO42" s="4">
        <v>167.0</v>
      </c>
      <c r="BP42" s="4">
        <v>0.0</v>
      </c>
      <c r="BQ42" s="4">
        <v>15.0</v>
      </c>
      <c r="BR42" s="4">
        <v>338.0</v>
      </c>
      <c r="BS42" s="4">
        <v>270.0</v>
      </c>
      <c r="BT42" s="4">
        <v>0.0</v>
      </c>
      <c r="BU42" s="4">
        <v>0.0</v>
      </c>
      <c r="BV42" s="4">
        <v>83.0</v>
      </c>
      <c r="BW42" s="4">
        <v>423.0</v>
      </c>
      <c r="BX42" s="4">
        <v>147.0</v>
      </c>
      <c r="BY42" s="4">
        <v>570.0</v>
      </c>
      <c r="BZ42" s="4">
        <v>340.0</v>
      </c>
      <c r="CA42" s="4">
        <v>230.0</v>
      </c>
      <c r="CB42" s="4">
        <v>0.0</v>
      </c>
      <c r="CC42" s="4">
        <v>6.0</v>
      </c>
      <c r="CD42" s="4">
        <v>256.0</v>
      </c>
      <c r="CE42" s="4">
        <v>19.0</v>
      </c>
      <c r="CF42" s="4">
        <v>0.0</v>
      </c>
      <c r="CG42" s="4">
        <v>0.0</v>
      </c>
      <c r="CH42" s="4">
        <v>243.0</v>
      </c>
      <c r="CI42" s="4">
        <v>0.0</v>
      </c>
      <c r="CJ42" s="4">
        <v>0.0</v>
      </c>
      <c r="CK42" s="4">
        <v>0.0</v>
      </c>
      <c r="CL42" s="4">
        <v>0.0</v>
      </c>
      <c r="CM42" s="4">
        <v>0.0</v>
      </c>
      <c r="CN42" s="4">
        <v>0.0</v>
      </c>
      <c r="CO42" s="4">
        <v>0.0</v>
      </c>
      <c r="CP42" s="4">
        <v>0.0</v>
      </c>
      <c r="CQ42" s="4">
        <v>0.0</v>
      </c>
      <c r="CR42" s="4">
        <v>0.0</v>
      </c>
      <c r="CS42" s="4">
        <v>0.0</v>
      </c>
      <c r="CT42" s="4">
        <v>0.0</v>
      </c>
      <c r="CU42" s="4">
        <f t="shared" si="2"/>
        <v>2090</v>
      </c>
      <c r="CV42" s="4">
        <v>334.0</v>
      </c>
      <c r="CW42" s="4">
        <v>55.0</v>
      </c>
      <c r="CX42" s="4">
        <f t="shared" si="3"/>
        <v>389</v>
      </c>
    </row>
    <row r="43">
      <c r="A43" s="4">
        <v>42.0</v>
      </c>
      <c r="B43" s="4" t="s">
        <v>168</v>
      </c>
      <c r="C43" s="4" t="s">
        <v>169</v>
      </c>
      <c r="D43" s="4" t="s">
        <v>139</v>
      </c>
      <c r="E43" s="4">
        <v>2025.0</v>
      </c>
      <c r="F43" s="4">
        <v>15.39</v>
      </c>
      <c r="G43" s="4">
        <v>328.0</v>
      </c>
      <c r="H43" s="4">
        <v>811.0</v>
      </c>
      <c r="I43" s="4">
        <v>811.0</v>
      </c>
      <c r="J43" s="4">
        <v>811.0</v>
      </c>
      <c r="K43" s="4">
        <v>832.0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  <c r="T43" s="4">
        <v>404.0</v>
      </c>
      <c r="U43" s="4">
        <v>511.0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0.0</v>
      </c>
      <c r="AG43" s="4">
        <v>0.0</v>
      </c>
      <c r="AH43" s="4">
        <v>0.0</v>
      </c>
      <c r="AI43" s="4">
        <v>0.0</v>
      </c>
      <c r="AJ43" s="4">
        <v>0.0</v>
      </c>
      <c r="AK43" s="4">
        <v>0.0</v>
      </c>
      <c r="AL43" s="4">
        <f t="shared" si="1"/>
        <v>4180</v>
      </c>
      <c r="AM43" s="4">
        <v>2634.0</v>
      </c>
      <c r="AN43" s="4">
        <v>701.0</v>
      </c>
      <c r="AO43" s="4">
        <v>3335.0</v>
      </c>
      <c r="AP43" s="4">
        <v>1593.0</v>
      </c>
      <c r="AQ43" s="4">
        <v>1672.0</v>
      </c>
      <c r="AR43" s="4">
        <v>70.0</v>
      </c>
      <c r="AS43" s="4">
        <v>292.0</v>
      </c>
      <c r="AT43" s="4">
        <v>1615.0</v>
      </c>
      <c r="AU43" s="4">
        <v>47.0</v>
      </c>
      <c r="AV43" s="4">
        <v>1483.0</v>
      </c>
      <c r="AW43" s="4">
        <v>8.0</v>
      </c>
      <c r="AX43" s="4">
        <v>369.0</v>
      </c>
      <c r="AY43" s="4">
        <v>0.0</v>
      </c>
      <c r="AZ43" s="4">
        <v>0.0</v>
      </c>
      <c r="BA43" s="4">
        <v>0.0</v>
      </c>
      <c r="BB43" s="4">
        <v>0.0</v>
      </c>
      <c r="BC43" s="4">
        <v>0.0</v>
      </c>
      <c r="BD43" s="4">
        <v>0.0</v>
      </c>
      <c r="BE43" s="4">
        <v>0.0</v>
      </c>
      <c r="BF43" s="4">
        <v>0.0</v>
      </c>
      <c r="BG43" s="4">
        <v>0.0</v>
      </c>
      <c r="BH43" s="4">
        <v>0.0</v>
      </c>
      <c r="BI43" s="4">
        <v>0.0</v>
      </c>
      <c r="BJ43" s="4">
        <v>0.0</v>
      </c>
      <c r="BK43" s="4">
        <v>504.0</v>
      </c>
      <c r="BL43" s="4">
        <v>127.0</v>
      </c>
      <c r="BM43" s="4">
        <v>631.0</v>
      </c>
      <c r="BN43" s="4">
        <v>271.0</v>
      </c>
      <c r="BO43" s="4">
        <v>358.0</v>
      </c>
      <c r="BP43" s="4">
        <v>2.0</v>
      </c>
      <c r="BQ43" s="4">
        <v>43.0</v>
      </c>
      <c r="BR43" s="4">
        <v>281.0</v>
      </c>
      <c r="BS43" s="4">
        <v>0.0</v>
      </c>
      <c r="BT43" s="4">
        <v>324.0</v>
      </c>
      <c r="BU43" s="4">
        <v>0.0</v>
      </c>
      <c r="BV43" s="4">
        <v>0.0</v>
      </c>
      <c r="BW43" s="4">
        <v>0.0</v>
      </c>
      <c r="BX43" s="4">
        <v>0.0</v>
      </c>
      <c r="BY43" s="4">
        <v>0.0</v>
      </c>
      <c r="BZ43" s="4">
        <v>0.0</v>
      </c>
      <c r="CA43" s="4">
        <v>0.0</v>
      </c>
      <c r="CB43" s="4">
        <v>0.0</v>
      </c>
      <c r="CC43" s="4">
        <v>0.0</v>
      </c>
      <c r="CD43" s="4">
        <v>0.0</v>
      </c>
      <c r="CE43" s="4">
        <v>0.0</v>
      </c>
      <c r="CF43" s="4">
        <v>0.0</v>
      </c>
      <c r="CG43" s="4">
        <v>0.0</v>
      </c>
      <c r="CH43" s="4">
        <v>0.0</v>
      </c>
      <c r="CI43" s="4">
        <v>0.0</v>
      </c>
      <c r="CJ43" s="4">
        <v>0.0</v>
      </c>
      <c r="CK43" s="4">
        <v>0.0</v>
      </c>
      <c r="CL43" s="4">
        <v>0.0</v>
      </c>
      <c r="CM43" s="4">
        <v>0.0</v>
      </c>
      <c r="CN43" s="4">
        <v>0.0</v>
      </c>
      <c r="CO43" s="4">
        <v>0.0</v>
      </c>
      <c r="CP43" s="4">
        <v>0.0</v>
      </c>
      <c r="CQ43" s="4">
        <v>0.0</v>
      </c>
      <c r="CR43" s="4">
        <v>0.0</v>
      </c>
      <c r="CS43" s="4">
        <v>0.0</v>
      </c>
      <c r="CT43" s="4">
        <v>0.0</v>
      </c>
      <c r="CU43" s="4">
        <f t="shared" si="2"/>
        <v>3966</v>
      </c>
      <c r="CV43" s="4">
        <v>559.0</v>
      </c>
      <c r="CW43" s="4">
        <v>260.0</v>
      </c>
      <c r="CX43" s="4">
        <f t="shared" si="3"/>
        <v>819</v>
      </c>
    </row>
    <row r="44">
      <c r="A44" s="4">
        <v>43.0</v>
      </c>
      <c r="B44" s="4" t="s">
        <v>170</v>
      </c>
      <c r="C44" s="4" t="s">
        <v>171</v>
      </c>
      <c r="D44" s="4" t="s">
        <v>146</v>
      </c>
      <c r="E44" s="4">
        <v>2025.0</v>
      </c>
      <c r="F44" s="4">
        <v>15.5</v>
      </c>
      <c r="G44" s="4">
        <v>497.0</v>
      </c>
      <c r="H44" s="4">
        <v>2225.0</v>
      </c>
      <c r="I44" s="4">
        <v>1470.0</v>
      </c>
      <c r="J44" s="4">
        <v>1205.0</v>
      </c>
      <c r="K44" s="4">
        <v>1260.0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75.0</v>
      </c>
      <c r="U44" s="4">
        <v>225.0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0.0</v>
      </c>
      <c r="AB44" s="4">
        <v>0.0</v>
      </c>
      <c r="AC44" s="4">
        <v>0.0</v>
      </c>
      <c r="AD44" s="4">
        <v>0.0</v>
      </c>
      <c r="AE44" s="4">
        <v>0.0</v>
      </c>
      <c r="AF44" s="4">
        <v>0.0</v>
      </c>
      <c r="AG44" s="4">
        <v>0.0</v>
      </c>
      <c r="AH44" s="4">
        <v>0.0</v>
      </c>
      <c r="AI44" s="4">
        <v>0.0</v>
      </c>
      <c r="AJ44" s="4">
        <v>0.0</v>
      </c>
      <c r="AK44" s="4">
        <v>0.0</v>
      </c>
      <c r="AL44" s="4">
        <f t="shared" si="1"/>
        <v>6460</v>
      </c>
      <c r="AM44" s="4">
        <v>4937.0</v>
      </c>
      <c r="AN44" s="4">
        <v>1516.0</v>
      </c>
      <c r="AO44" s="4">
        <v>6453.0</v>
      </c>
      <c r="AP44" s="4">
        <v>1346.0</v>
      </c>
      <c r="AQ44" s="4">
        <v>5100.0</v>
      </c>
      <c r="AR44" s="4">
        <v>7.0</v>
      </c>
      <c r="AS44" s="4">
        <v>985.0</v>
      </c>
      <c r="AT44" s="4">
        <v>387.0</v>
      </c>
      <c r="AU44" s="4">
        <v>0.0</v>
      </c>
      <c r="AV44" s="4">
        <v>48.0</v>
      </c>
      <c r="AW44" s="4">
        <v>0.0</v>
      </c>
      <c r="AX44" s="4">
        <v>1324.0</v>
      </c>
      <c r="AY44" s="4">
        <v>0.0</v>
      </c>
      <c r="AZ44" s="4">
        <v>0.0</v>
      </c>
      <c r="BA44" s="4">
        <v>0.0</v>
      </c>
      <c r="BB44" s="4">
        <v>0.0</v>
      </c>
      <c r="BC44" s="4">
        <v>0.0</v>
      </c>
      <c r="BD44" s="4">
        <v>0.0</v>
      </c>
      <c r="BE44" s="4">
        <v>0.0</v>
      </c>
      <c r="BF44" s="4">
        <v>0.0</v>
      </c>
      <c r="BG44" s="4">
        <v>0.0</v>
      </c>
      <c r="BH44" s="4">
        <v>0.0</v>
      </c>
      <c r="BI44" s="4">
        <v>0.0</v>
      </c>
      <c r="BJ44" s="4">
        <v>0.0</v>
      </c>
      <c r="BK44" s="4">
        <v>106.0</v>
      </c>
      <c r="BL44" s="4">
        <v>20.0</v>
      </c>
      <c r="BM44" s="4">
        <v>126.0</v>
      </c>
      <c r="BN44" s="4">
        <v>17.0</v>
      </c>
      <c r="BO44" s="4">
        <v>109.0</v>
      </c>
      <c r="BP44" s="4">
        <v>0.0</v>
      </c>
      <c r="BQ44" s="4">
        <v>7.0</v>
      </c>
      <c r="BR44" s="4">
        <v>25.0</v>
      </c>
      <c r="BS44" s="4">
        <v>0.0</v>
      </c>
      <c r="BT44" s="4">
        <v>0.0</v>
      </c>
      <c r="BU44" s="4">
        <v>0.0</v>
      </c>
      <c r="BV44" s="4">
        <v>32.0</v>
      </c>
      <c r="BW44" s="4">
        <v>0.0</v>
      </c>
      <c r="BX44" s="4">
        <v>0.0</v>
      </c>
      <c r="BY44" s="4">
        <v>0.0</v>
      </c>
      <c r="BZ44" s="4">
        <v>0.0</v>
      </c>
      <c r="CA44" s="4">
        <v>0.0</v>
      </c>
      <c r="CB44" s="4">
        <v>0.0</v>
      </c>
      <c r="CC44" s="4">
        <v>0.0</v>
      </c>
      <c r="CD44" s="4">
        <v>0.0</v>
      </c>
      <c r="CE44" s="4">
        <v>0.0</v>
      </c>
      <c r="CF44" s="4">
        <v>0.0</v>
      </c>
      <c r="CG44" s="4">
        <v>0.0</v>
      </c>
      <c r="CH44" s="4">
        <v>0.0</v>
      </c>
      <c r="CI44" s="4">
        <v>0.0</v>
      </c>
      <c r="CJ44" s="4">
        <v>0.0</v>
      </c>
      <c r="CK44" s="4">
        <v>0.0</v>
      </c>
      <c r="CL44" s="4">
        <v>0.0</v>
      </c>
      <c r="CM44" s="4">
        <v>0.0</v>
      </c>
      <c r="CN44" s="4">
        <v>0.0</v>
      </c>
      <c r="CO44" s="4">
        <v>0.0</v>
      </c>
      <c r="CP44" s="4">
        <v>0.0</v>
      </c>
      <c r="CQ44" s="4">
        <v>0.0</v>
      </c>
      <c r="CR44" s="4">
        <v>0.0</v>
      </c>
      <c r="CS44" s="4">
        <v>0.0</v>
      </c>
      <c r="CT44" s="4">
        <v>0.0</v>
      </c>
      <c r="CU44" s="4">
        <f t="shared" si="2"/>
        <v>6579</v>
      </c>
      <c r="CV44" s="4">
        <v>165.0</v>
      </c>
      <c r="CW44" s="4">
        <v>94.0</v>
      </c>
      <c r="CX44" s="4">
        <f t="shared" si="3"/>
        <v>259</v>
      </c>
    </row>
    <row r="45">
      <c r="A45" s="4">
        <v>44.0</v>
      </c>
      <c r="B45" s="4" t="s">
        <v>172</v>
      </c>
      <c r="C45" s="4" t="s">
        <v>173</v>
      </c>
      <c r="D45" s="4" t="s">
        <v>139</v>
      </c>
      <c r="E45" s="4">
        <v>2025.0</v>
      </c>
      <c r="F45" s="4">
        <v>13.31</v>
      </c>
      <c r="G45" s="4">
        <v>266.0</v>
      </c>
      <c r="H45" s="4">
        <v>855.0</v>
      </c>
      <c r="I45" s="4">
        <v>855.0</v>
      </c>
      <c r="J45" s="4">
        <v>855.0</v>
      </c>
      <c r="K45" s="4">
        <v>855.0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434.0</v>
      </c>
      <c r="U45" s="4">
        <v>434.0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  <c r="AG45" s="4">
        <v>0.0</v>
      </c>
      <c r="AH45" s="4">
        <v>0.0</v>
      </c>
      <c r="AI45" s="4">
        <v>0.0</v>
      </c>
      <c r="AJ45" s="4">
        <v>0.0</v>
      </c>
      <c r="AK45" s="4">
        <v>0.0</v>
      </c>
      <c r="AL45" s="4">
        <f t="shared" si="1"/>
        <v>4288</v>
      </c>
      <c r="AM45" s="4">
        <v>2541.0</v>
      </c>
      <c r="AN45" s="4">
        <v>693.0</v>
      </c>
      <c r="AO45" s="4">
        <v>3234.0</v>
      </c>
      <c r="AP45" s="4">
        <v>1496.0</v>
      </c>
      <c r="AQ45" s="4">
        <v>1670.0</v>
      </c>
      <c r="AR45" s="4">
        <v>68.0</v>
      </c>
      <c r="AS45" s="4">
        <v>376.0</v>
      </c>
      <c r="AT45" s="4">
        <v>1773.0</v>
      </c>
      <c r="AU45" s="4">
        <v>716.0</v>
      </c>
      <c r="AV45" s="4">
        <v>789.0</v>
      </c>
      <c r="AW45" s="4">
        <v>2.0</v>
      </c>
      <c r="AX45" s="4">
        <v>642.0</v>
      </c>
      <c r="AY45" s="4">
        <v>0.0</v>
      </c>
      <c r="AZ45" s="4">
        <v>0.0</v>
      </c>
      <c r="BA45" s="4">
        <v>0.0</v>
      </c>
      <c r="BB45" s="4">
        <v>0.0</v>
      </c>
      <c r="BC45" s="4">
        <v>0.0</v>
      </c>
      <c r="BD45" s="4">
        <v>0.0</v>
      </c>
      <c r="BE45" s="4">
        <v>0.0</v>
      </c>
      <c r="BF45" s="4">
        <v>0.0</v>
      </c>
      <c r="BG45" s="4">
        <v>0.0</v>
      </c>
      <c r="BH45" s="4">
        <v>0.0</v>
      </c>
      <c r="BI45" s="4">
        <v>0.0</v>
      </c>
      <c r="BJ45" s="4">
        <v>0.0</v>
      </c>
      <c r="BK45" s="4">
        <v>337.0</v>
      </c>
      <c r="BL45" s="4">
        <v>114.0</v>
      </c>
      <c r="BM45" s="4">
        <v>451.0</v>
      </c>
      <c r="BN45" s="4">
        <v>246.0</v>
      </c>
      <c r="BO45" s="4">
        <v>205.0</v>
      </c>
      <c r="BP45" s="4">
        <v>0.0</v>
      </c>
      <c r="BQ45" s="4">
        <v>31.0</v>
      </c>
      <c r="BR45" s="4">
        <v>267.0</v>
      </c>
      <c r="BS45" s="4">
        <v>102.0</v>
      </c>
      <c r="BT45" s="4">
        <v>0.0</v>
      </c>
      <c r="BU45" s="4">
        <v>0.0</v>
      </c>
      <c r="BV45" s="4">
        <v>196.0</v>
      </c>
      <c r="BW45" s="4">
        <v>0.0</v>
      </c>
      <c r="BX45" s="4">
        <v>0.0</v>
      </c>
      <c r="BY45" s="4">
        <v>0.0</v>
      </c>
      <c r="BZ45" s="4">
        <v>0.0</v>
      </c>
      <c r="CA45" s="4">
        <v>0.0</v>
      </c>
      <c r="CB45" s="4">
        <v>0.0</v>
      </c>
      <c r="CC45" s="4">
        <v>0.0</v>
      </c>
      <c r="CD45" s="4">
        <v>0.0</v>
      </c>
      <c r="CE45" s="4">
        <v>0.0</v>
      </c>
      <c r="CF45" s="4">
        <v>0.0</v>
      </c>
      <c r="CG45" s="4">
        <v>0.0</v>
      </c>
      <c r="CH45" s="4">
        <v>0.0</v>
      </c>
      <c r="CI45" s="4">
        <v>0.0</v>
      </c>
      <c r="CJ45" s="4">
        <v>0.0</v>
      </c>
      <c r="CK45" s="4">
        <v>0.0</v>
      </c>
      <c r="CL45" s="4">
        <v>0.0</v>
      </c>
      <c r="CM45" s="4">
        <v>0.0</v>
      </c>
      <c r="CN45" s="4">
        <v>0.0</v>
      </c>
      <c r="CO45" s="4">
        <v>0.0</v>
      </c>
      <c r="CP45" s="4">
        <v>0.0</v>
      </c>
      <c r="CQ45" s="4">
        <v>0.0</v>
      </c>
      <c r="CR45" s="4">
        <v>0.0</v>
      </c>
      <c r="CS45" s="4">
        <v>0.0</v>
      </c>
      <c r="CT45" s="4">
        <v>0.0</v>
      </c>
      <c r="CU45" s="4">
        <f t="shared" si="2"/>
        <v>3685</v>
      </c>
      <c r="CV45" s="4">
        <v>429.0</v>
      </c>
      <c r="CW45" s="4">
        <v>109.0</v>
      </c>
      <c r="CX45" s="4">
        <f t="shared" si="3"/>
        <v>538</v>
      </c>
    </row>
    <row r="46">
      <c r="A46" s="4">
        <v>45.0</v>
      </c>
      <c r="B46" s="11" t="s">
        <v>174</v>
      </c>
      <c r="C46" s="4" t="s">
        <v>103</v>
      </c>
      <c r="D46" s="4" t="s">
        <v>118</v>
      </c>
      <c r="E46" s="4">
        <v>2025.0</v>
      </c>
      <c r="F46" s="4">
        <v>16.02</v>
      </c>
      <c r="G46" s="4">
        <v>621.0</v>
      </c>
      <c r="H46" s="4">
        <v>2910.0</v>
      </c>
      <c r="I46" s="4">
        <v>1410.0</v>
      </c>
      <c r="J46" s="4">
        <v>1410.0</v>
      </c>
      <c r="K46" s="4">
        <v>1800.0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  <c r="T46" s="4">
        <v>306.0</v>
      </c>
      <c r="U46" s="4">
        <v>90.0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0.0</v>
      </c>
      <c r="AB46" s="4">
        <v>0.0</v>
      </c>
      <c r="AC46" s="4">
        <v>0.0</v>
      </c>
      <c r="AD46" s="4">
        <v>0.0</v>
      </c>
      <c r="AE46" s="4">
        <v>0.0</v>
      </c>
      <c r="AF46" s="4">
        <v>0.0</v>
      </c>
      <c r="AG46" s="4">
        <v>0.0</v>
      </c>
      <c r="AH46" s="4">
        <v>0.0</v>
      </c>
      <c r="AI46" s="4">
        <v>0.0</v>
      </c>
      <c r="AJ46" s="4">
        <v>0.0</v>
      </c>
      <c r="AK46" s="4">
        <v>0.0</v>
      </c>
      <c r="AL46" s="4">
        <f t="shared" si="1"/>
        <v>7926</v>
      </c>
      <c r="AM46" s="4">
        <v>3934.0</v>
      </c>
      <c r="AN46" s="4">
        <v>3376.0</v>
      </c>
      <c r="AO46" s="4">
        <v>7310.0</v>
      </c>
      <c r="AP46" s="4">
        <v>1730.0</v>
      </c>
      <c r="AQ46" s="4">
        <v>5573.0</v>
      </c>
      <c r="AR46" s="4">
        <v>7.0</v>
      </c>
      <c r="AS46" s="4">
        <v>780.0</v>
      </c>
      <c r="AT46" s="4">
        <v>1671.0</v>
      </c>
      <c r="AU46" s="4">
        <v>12.0</v>
      </c>
      <c r="AV46" s="4">
        <v>1878.0</v>
      </c>
      <c r="AW46" s="4">
        <v>53.0</v>
      </c>
      <c r="AX46" s="4">
        <v>508.0</v>
      </c>
      <c r="AY46" s="4">
        <v>0.0</v>
      </c>
      <c r="AZ46" s="4">
        <v>0.0</v>
      </c>
      <c r="BA46" s="4">
        <v>0.0</v>
      </c>
      <c r="BB46" s="4">
        <v>0.0</v>
      </c>
      <c r="BC46" s="4">
        <v>0.0</v>
      </c>
      <c r="BD46" s="4">
        <v>0.0</v>
      </c>
      <c r="BE46" s="4">
        <v>0.0</v>
      </c>
      <c r="BF46" s="4">
        <v>0.0</v>
      </c>
      <c r="BG46" s="4">
        <v>0.0</v>
      </c>
      <c r="BH46" s="4">
        <v>0.0</v>
      </c>
      <c r="BI46" s="4">
        <v>0.0</v>
      </c>
      <c r="BJ46" s="4">
        <v>0.0</v>
      </c>
      <c r="BK46" s="4">
        <v>220.0</v>
      </c>
      <c r="BL46" s="4">
        <v>116.0</v>
      </c>
      <c r="BM46" s="4">
        <v>336.0</v>
      </c>
      <c r="BN46" s="4">
        <v>134.0</v>
      </c>
      <c r="BO46" s="4">
        <v>200.0</v>
      </c>
      <c r="BP46" s="4">
        <v>2.0</v>
      </c>
      <c r="BQ46" s="4">
        <v>37.0</v>
      </c>
      <c r="BR46" s="4">
        <v>146.0</v>
      </c>
      <c r="BS46" s="4">
        <v>0.0</v>
      </c>
      <c r="BT46" s="4">
        <v>127.0</v>
      </c>
      <c r="BU46" s="4">
        <v>3.0</v>
      </c>
      <c r="BV46" s="4">
        <v>53.0</v>
      </c>
      <c r="BW46" s="4">
        <v>0.0</v>
      </c>
      <c r="BX46" s="4">
        <v>0.0</v>
      </c>
      <c r="BY46" s="4">
        <v>0.0</v>
      </c>
      <c r="BZ46" s="4">
        <v>0.0</v>
      </c>
      <c r="CA46" s="4">
        <v>0.0</v>
      </c>
      <c r="CB46" s="4">
        <v>0.0</v>
      </c>
      <c r="CC46" s="4">
        <v>0.0</v>
      </c>
      <c r="CD46" s="4">
        <v>0.0</v>
      </c>
      <c r="CE46" s="4">
        <v>0.0</v>
      </c>
      <c r="CF46" s="4">
        <v>0.0</v>
      </c>
      <c r="CG46" s="4">
        <v>0.0</v>
      </c>
      <c r="CH46" s="4">
        <v>0.0</v>
      </c>
      <c r="CI46" s="4">
        <v>0.0</v>
      </c>
      <c r="CJ46" s="4">
        <v>0.0</v>
      </c>
      <c r="CK46" s="4">
        <v>0.0</v>
      </c>
      <c r="CL46" s="4">
        <v>0.0</v>
      </c>
      <c r="CM46" s="4">
        <v>0.0</v>
      </c>
      <c r="CN46" s="4">
        <v>0.0</v>
      </c>
      <c r="CO46" s="4">
        <v>0.0</v>
      </c>
      <c r="CP46" s="4">
        <v>0.0</v>
      </c>
      <c r="CQ46" s="4">
        <v>0.0</v>
      </c>
      <c r="CR46" s="4">
        <v>0.0</v>
      </c>
      <c r="CS46" s="4">
        <v>0.0</v>
      </c>
      <c r="CT46" s="4">
        <v>0.0</v>
      </c>
      <c r="CU46" s="4">
        <f t="shared" si="2"/>
        <v>7646</v>
      </c>
      <c r="CV46" s="4">
        <v>293.0</v>
      </c>
      <c r="CW46" s="4">
        <v>352.0</v>
      </c>
      <c r="CX46" s="4">
        <f t="shared" si="3"/>
        <v>645</v>
      </c>
    </row>
    <row r="47">
      <c r="A47" s="4">
        <v>46.0</v>
      </c>
      <c r="B47" s="4" t="s">
        <v>175</v>
      </c>
      <c r="C47" s="4" t="s">
        <v>176</v>
      </c>
      <c r="D47" s="4" t="s">
        <v>118</v>
      </c>
      <c r="E47" s="4">
        <v>2025.0</v>
      </c>
      <c r="F47" s="4">
        <v>10.8</v>
      </c>
      <c r="G47" s="4">
        <v>183.0</v>
      </c>
      <c r="H47" s="4">
        <v>600.0</v>
      </c>
      <c r="I47" s="4">
        <v>600.0</v>
      </c>
      <c r="J47" s="4">
        <v>600.0</v>
      </c>
      <c r="K47" s="4">
        <v>540.0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  <c r="T47" s="4">
        <v>126.0</v>
      </c>
      <c r="U47" s="4">
        <v>96.0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0.0</v>
      </c>
      <c r="AB47" s="4">
        <v>0.0</v>
      </c>
      <c r="AC47" s="4">
        <v>0.0</v>
      </c>
      <c r="AD47" s="4">
        <v>0.0</v>
      </c>
      <c r="AE47" s="4">
        <v>0.0</v>
      </c>
      <c r="AF47" s="4">
        <v>0.0</v>
      </c>
      <c r="AG47" s="4">
        <v>0.0</v>
      </c>
      <c r="AH47" s="4">
        <v>0.0</v>
      </c>
      <c r="AI47" s="4">
        <v>0.0</v>
      </c>
      <c r="AJ47" s="4">
        <v>0.0</v>
      </c>
      <c r="AK47" s="4">
        <v>0.0</v>
      </c>
      <c r="AL47" s="4">
        <f t="shared" si="1"/>
        <v>2562</v>
      </c>
      <c r="AM47" s="4">
        <v>1730.0</v>
      </c>
      <c r="AN47" s="4">
        <v>639.0</v>
      </c>
      <c r="AO47" s="4">
        <v>2369.0</v>
      </c>
      <c r="AP47" s="4">
        <v>1267.0</v>
      </c>
      <c r="AQ47" s="4">
        <v>973.0</v>
      </c>
      <c r="AR47" s="4">
        <v>129.0</v>
      </c>
      <c r="AS47" s="4">
        <v>0.0</v>
      </c>
      <c r="AT47" s="4">
        <v>109.0</v>
      </c>
      <c r="AU47" s="4">
        <v>50.0</v>
      </c>
      <c r="AV47" s="4">
        <v>51.0</v>
      </c>
      <c r="AW47" s="4">
        <v>0.0</v>
      </c>
      <c r="AX47" s="4">
        <v>8.0</v>
      </c>
      <c r="AY47" s="4">
        <v>0.0</v>
      </c>
      <c r="AZ47" s="4">
        <v>0.0</v>
      </c>
      <c r="BA47" s="4">
        <v>0.0</v>
      </c>
      <c r="BB47" s="4">
        <v>0.0</v>
      </c>
      <c r="BC47" s="4">
        <v>0.0</v>
      </c>
      <c r="BD47" s="4">
        <v>0.0</v>
      </c>
      <c r="BE47" s="4">
        <v>0.0</v>
      </c>
      <c r="BF47" s="4">
        <v>0.0</v>
      </c>
      <c r="BG47" s="4">
        <v>0.0</v>
      </c>
      <c r="BH47" s="4">
        <v>0.0</v>
      </c>
      <c r="BI47" s="4">
        <v>0.0</v>
      </c>
      <c r="BJ47" s="4">
        <v>0.0</v>
      </c>
      <c r="BK47" s="4">
        <v>103.0</v>
      </c>
      <c r="BL47" s="4">
        <v>33.0</v>
      </c>
      <c r="BM47" s="4">
        <v>136.0</v>
      </c>
      <c r="BN47" s="4">
        <v>91.0</v>
      </c>
      <c r="BO47" s="4">
        <v>45.0</v>
      </c>
      <c r="BP47" s="4">
        <v>0.0</v>
      </c>
      <c r="BQ47" s="4">
        <v>0.0</v>
      </c>
      <c r="BR47" s="4">
        <v>15.0</v>
      </c>
      <c r="BS47" s="4">
        <v>0.0</v>
      </c>
      <c r="BT47" s="4">
        <v>10.0</v>
      </c>
      <c r="BU47" s="4">
        <v>0.0</v>
      </c>
      <c r="BV47" s="4">
        <v>5.0</v>
      </c>
      <c r="BW47" s="4">
        <v>0.0</v>
      </c>
      <c r="BX47" s="4">
        <v>0.0</v>
      </c>
      <c r="BY47" s="4">
        <v>0.0</v>
      </c>
      <c r="BZ47" s="4">
        <v>0.0</v>
      </c>
      <c r="CA47" s="4">
        <v>0.0</v>
      </c>
      <c r="CB47" s="4">
        <v>0.0</v>
      </c>
      <c r="CC47" s="4">
        <v>0.0</v>
      </c>
      <c r="CD47" s="4">
        <v>0.0</v>
      </c>
      <c r="CE47" s="4">
        <v>0.0</v>
      </c>
      <c r="CF47" s="4">
        <v>0.0</v>
      </c>
      <c r="CG47" s="4">
        <v>0.0</v>
      </c>
      <c r="CH47" s="4">
        <v>0.0</v>
      </c>
      <c r="CI47" s="4">
        <v>0.0</v>
      </c>
      <c r="CJ47" s="4">
        <v>0.0</v>
      </c>
      <c r="CK47" s="4">
        <v>0.0</v>
      </c>
      <c r="CL47" s="4">
        <v>0.0</v>
      </c>
      <c r="CM47" s="4">
        <v>0.0</v>
      </c>
      <c r="CN47" s="4">
        <v>0.0</v>
      </c>
      <c r="CO47" s="4">
        <v>0.0</v>
      </c>
      <c r="CP47" s="4">
        <v>0.0</v>
      </c>
      <c r="CQ47" s="4">
        <v>0.0</v>
      </c>
      <c r="CR47" s="4">
        <v>0.0</v>
      </c>
      <c r="CS47" s="4">
        <v>0.0</v>
      </c>
      <c r="CT47" s="4">
        <v>0.0</v>
      </c>
      <c r="CU47" s="4">
        <f t="shared" si="2"/>
        <v>2505</v>
      </c>
      <c r="CV47" s="4">
        <v>226.0</v>
      </c>
      <c r="CW47" s="4">
        <v>44.0</v>
      </c>
      <c r="CX47" s="4">
        <f t="shared" si="3"/>
        <v>270</v>
      </c>
    </row>
    <row r="48">
      <c r="A48" s="4">
        <v>47.0</v>
      </c>
      <c r="B48" s="12" t="s">
        <v>177</v>
      </c>
      <c r="C48" s="4" t="s">
        <v>178</v>
      </c>
      <c r="D48" s="4" t="s">
        <v>146</v>
      </c>
      <c r="E48" s="4">
        <v>2025.0</v>
      </c>
      <c r="F48" s="4">
        <v>12.5</v>
      </c>
      <c r="G48" s="4">
        <v>340.0</v>
      </c>
      <c r="H48" s="4">
        <v>840.0</v>
      </c>
      <c r="I48" s="4">
        <v>840.0</v>
      </c>
      <c r="J48" s="4">
        <v>780.0</v>
      </c>
      <c r="K48" s="4">
        <v>780.0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162.0</v>
      </c>
      <c r="U48" s="4">
        <v>180.0</v>
      </c>
      <c r="V48" s="4">
        <v>0.0</v>
      </c>
      <c r="W48" s="4">
        <v>0.0</v>
      </c>
      <c r="X48" s="4">
        <v>0.0</v>
      </c>
      <c r="Y48" s="4">
        <v>0.0</v>
      </c>
      <c r="Z48" s="8">
        <v>0.0</v>
      </c>
      <c r="AA48" s="8">
        <v>0.0</v>
      </c>
      <c r="AB48" s="8">
        <v>0.0</v>
      </c>
      <c r="AC48" s="8">
        <v>0.0</v>
      </c>
      <c r="AD48" s="8">
        <v>0.0</v>
      </c>
      <c r="AE48" s="8">
        <v>0.0</v>
      </c>
      <c r="AF48" s="6">
        <v>60.0</v>
      </c>
      <c r="AG48" s="6">
        <v>0.0</v>
      </c>
      <c r="AH48" s="6">
        <v>0.0</v>
      </c>
      <c r="AI48" s="6">
        <v>0.0</v>
      </c>
      <c r="AJ48" s="6">
        <v>0.0</v>
      </c>
      <c r="AK48" s="6">
        <v>0.0</v>
      </c>
      <c r="AL48" s="4">
        <f t="shared" si="1"/>
        <v>3642</v>
      </c>
      <c r="AM48" s="4">
        <v>2316.0</v>
      </c>
      <c r="AN48" s="4">
        <v>1278.0</v>
      </c>
      <c r="AO48" s="4">
        <v>3594.0</v>
      </c>
      <c r="AP48" s="4">
        <v>3014.0</v>
      </c>
      <c r="AQ48" s="4">
        <v>507.0</v>
      </c>
      <c r="AR48" s="4">
        <v>73.0</v>
      </c>
      <c r="AS48" s="4">
        <v>484.0</v>
      </c>
      <c r="AT48" s="4">
        <v>2197.0</v>
      </c>
      <c r="AU48" s="4">
        <v>668.0</v>
      </c>
      <c r="AV48" s="4">
        <v>1010.0</v>
      </c>
      <c r="AW48" s="4">
        <v>462.0</v>
      </c>
      <c r="AX48" s="4">
        <v>541.0</v>
      </c>
      <c r="AY48" s="4">
        <v>0.0</v>
      </c>
      <c r="AZ48" s="4">
        <v>0.0</v>
      </c>
      <c r="BA48" s="4">
        <v>0.0</v>
      </c>
      <c r="BB48" s="4">
        <v>0.0</v>
      </c>
      <c r="BC48" s="4">
        <v>0.0</v>
      </c>
      <c r="BD48" s="4">
        <v>0.0</v>
      </c>
      <c r="BE48" s="4">
        <v>0.0</v>
      </c>
      <c r="BF48" s="4">
        <v>0.0</v>
      </c>
      <c r="BG48" s="4">
        <v>0.0</v>
      </c>
      <c r="BH48" s="4">
        <v>0.0</v>
      </c>
      <c r="BI48" s="4">
        <v>0.0</v>
      </c>
      <c r="BJ48" s="4">
        <v>0.0</v>
      </c>
      <c r="BK48" s="4">
        <v>58.0</v>
      </c>
      <c r="BL48" s="4">
        <v>43.0</v>
      </c>
      <c r="BM48" s="4">
        <v>101.0</v>
      </c>
      <c r="BN48" s="4">
        <v>93.0</v>
      </c>
      <c r="BO48" s="4">
        <v>8.0</v>
      </c>
      <c r="BP48" s="4">
        <v>0.0</v>
      </c>
      <c r="BQ48" s="4">
        <v>9.0</v>
      </c>
      <c r="BR48" s="4">
        <v>74.0</v>
      </c>
      <c r="BS48" s="4">
        <v>15.0</v>
      </c>
      <c r="BT48" s="4">
        <v>18.0</v>
      </c>
      <c r="BU48" s="4">
        <v>10.0</v>
      </c>
      <c r="BV48" s="4">
        <v>40.0</v>
      </c>
      <c r="BW48" s="4">
        <v>0.0</v>
      </c>
      <c r="BX48" s="4">
        <v>0.0</v>
      </c>
      <c r="BY48" s="4">
        <v>0.0</v>
      </c>
      <c r="BZ48" s="4">
        <v>0.0</v>
      </c>
      <c r="CA48" s="4">
        <v>0.0</v>
      </c>
      <c r="CB48" s="4">
        <v>0.0</v>
      </c>
      <c r="CC48" s="4">
        <v>0.0</v>
      </c>
      <c r="CD48" s="4">
        <v>0.0</v>
      </c>
      <c r="CE48" s="4">
        <v>0.0</v>
      </c>
      <c r="CF48" s="4">
        <v>0.0</v>
      </c>
      <c r="CG48" s="4">
        <v>0.0</v>
      </c>
      <c r="CH48" s="4">
        <v>0.0</v>
      </c>
      <c r="CI48" s="6">
        <v>42.0</v>
      </c>
      <c r="CJ48" s="6">
        <v>20.0</v>
      </c>
      <c r="CK48" s="6">
        <v>62.0</v>
      </c>
      <c r="CL48" s="6">
        <v>49.0</v>
      </c>
      <c r="CM48" s="6">
        <v>13.0</v>
      </c>
      <c r="CN48" s="6">
        <v>0.0</v>
      </c>
      <c r="CO48" s="6">
        <v>13.0</v>
      </c>
      <c r="CP48" s="6">
        <v>30.0</v>
      </c>
      <c r="CQ48" s="6">
        <v>6.0</v>
      </c>
      <c r="CR48" s="6">
        <v>8.0</v>
      </c>
      <c r="CS48" s="6">
        <v>8.0</v>
      </c>
      <c r="CT48" s="6">
        <v>21.0</v>
      </c>
      <c r="CU48" s="4">
        <f t="shared" si="2"/>
        <v>3757</v>
      </c>
      <c r="CV48" s="4">
        <v>232.0</v>
      </c>
      <c r="CW48" s="4">
        <v>248.0</v>
      </c>
      <c r="CX48" s="4">
        <f t="shared" si="3"/>
        <v>480</v>
      </c>
    </row>
    <row r="49">
      <c r="A49" s="4">
        <v>48.0</v>
      </c>
      <c r="B49" s="4" t="s">
        <v>179</v>
      </c>
      <c r="C49" s="4" t="s">
        <v>180</v>
      </c>
      <c r="D49" s="4" t="s">
        <v>146</v>
      </c>
      <c r="E49" s="4">
        <v>2025.0</v>
      </c>
      <c r="F49" s="4">
        <v>18.0</v>
      </c>
      <c r="G49" s="4">
        <v>1077.0</v>
      </c>
      <c r="H49" s="4">
        <v>4710.0</v>
      </c>
      <c r="I49" s="4">
        <v>6095.0</v>
      </c>
      <c r="J49" s="4">
        <v>3085.0</v>
      </c>
      <c r="K49" s="4">
        <v>4150.0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123.0</v>
      </c>
      <c r="U49" s="4">
        <v>96.0</v>
      </c>
      <c r="V49" s="4">
        <v>0.0</v>
      </c>
      <c r="W49" s="4">
        <v>0.0</v>
      </c>
      <c r="X49" s="4">
        <v>0.0</v>
      </c>
      <c r="Y49" s="4">
        <v>0.0</v>
      </c>
      <c r="Z49" s="8">
        <v>0.0</v>
      </c>
      <c r="AA49" s="8">
        <v>0.0</v>
      </c>
      <c r="AB49" s="8">
        <v>0.0</v>
      </c>
      <c r="AC49" s="8">
        <v>0.0</v>
      </c>
      <c r="AD49" s="8">
        <v>0.0</v>
      </c>
      <c r="AE49" s="8">
        <v>0.0</v>
      </c>
      <c r="AF49" s="6">
        <v>0.0</v>
      </c>
      <c r="AG49" s="6">
        <v>0.0</v>
      </c>
      <c r="AH49" s="6">
        <v>0.0</v>
      </c>
      <c r="AI49" s="6">
        <v>25.0</v>
      </c>
      <c r="AJ49" s="6">
        <v>20.0</v>
      </c>
      <c r="AK49" s="6">
        <v>0.0</v>
      </c>
      <c r="AL49" s="4">
        <f t="shared" si="1"/>
        <v>18304</v>
      </c>
      <c r="AM49" s="4">
        <v>15594.0</v>
      </c>
      <c r="AN49" s="4">
        <v>3046.0</v>
      </c>
      <c r="AO49" s="4">
        <v>18640.0</v>
      </c>
      <c r="AP49" s="4">
        <v>869.0</v>
      </c>
      <c r="AQ49" s="4">
        <v>17191.0</v>
      </c>
      <c r="AR49" s="4">
        <v>580.0</v>
      </c>
      <c r="AS49" s="4">
        <v>8419.0</v>
      </c>
      <c r="AT49" s="4">
        <v>267.0</v>
      </c>
      <c r="AU49" s="4">
        <v>313.0</v>
      </c>
      <c r="AV49" s="4">
        <v>2676.0</v>
      </c>
      <c r="AW49" s="4">
        <v>0.0</v>
      </c>
      <c r="AX49" s="4">
        <v>5697.0</v>
      </c>
      <c r="AY49" s="4">
        <v>0.0</v>
      </c>
      <c r="AZ49" s="4">
        <v>0.0</v>
      </c>
      <c r="BA49" s="4">
        <v>0.0</v>
      </c>
      <c r="BB49" s="4">
        <v>0.0</v>
      </c>
      <c r="BC49" s="4">
        <v>0.0</v>
      </c>
      <c r="BD49" s="4">
        <v>0.0</v>
      </c>
      <c r="BE49" s="4">
        <v>0.0</v>
      </c>
      <c r="BF49" s="4">
        <v>0.0</v>
      </c>
      <c r="BG49" s="4">
        <v>0.0</v>
      </c>
      <c r="BH49" s="4">
        <v>0.0</v>
      </c>
      <c r="BI49" s="4">
        <v>0.0</v>
      </c>
      <c r="BJ49" s="4">
        <v>0.0</v>
      </c>
      <c r="BK49" s="4">
        <v>140.0</v>
      </c>
      <c r="BL49" s="4">
        <v>59.0</v>
      </c>
      <c r="BM49" s="4">
        <v>199.0</v>
      </c>
      <c r="BN49" s="4">
        <v>8.0</v>
      </c>
      <c r="BO49" s="4">
        <v>170.0</v>
      </c>
      <c r="BP49" s="4">
        <v>21.0</v>
      </c>
      <c r="BQ49" s="4">
        <v>109.0</v>
      </c>
      <c r="BR49" s="4">
        <v>5.0</v>
      </c>
      <c r="BS49" s="4">
        <v>7.0</v>
      </c>
      <c r="BT49" s="4">
        <v>90.0</v>
      </c>
      <c r="BU49" s="4">
        <v>0.0</v>
      </c>
      <c r="BV49" s="4">
        <v>17.0</v>
      </c>
      <c r="BW49" s="4">
        <v>0.0</v>
      </c>
      <c r="BX49" s="4">
        <v>0.0</v>
      </c>
      <c r="BY49" s="4">
        <v>0.0</v>
      </c>
      <c r="BZ49" s="4">
        <v>0.0</v>
      </c>
      <c r="CA49" s="4">
        <v>0.0</v>
      </c>
      <c r="CB49" s="4">
        <v>0.0</v>
      </c>
      <c r="CC49" s="4">
        <v>0.0</v>
      </c>
      <c r="CD49" s="4">
        <v>0.0</v>
      </c>
      <c r="CE49" s="4">
        <v>0.0</v>
      </c>
      <c r="CF49" s="4">
        <v>0.0</v>
      </c>
      <c r="CG49" s="4">
        <v>0.0</v>
      </c>
      <c r="CH49" s="4">
        <v>0.0</v>
      </c>
      <c r="CI49" s="6">
        <v>37.0</v>
      </c>
      <c r="CJ49" s="6">
        <v>4.0</v>
      </c>
      <c r="CK49" s="6">
        <v>41.0</v>
      </c>
      <c r="CL49" s="6">
        <v>0.0</v>
      </c>
      <c r="CM49" s="6">
        <v>40.0</v>
      </c>
      <c r="CN49" s="6">
        <v>1.0</v>
      </c>
      <c r="CO49" s="6">
        <v>8.0</v>
      </c>
      <c r="CP49" s="6">
        <v>0.0</v>
      </c>
      <c r="CQ49" s="6">
        <v>0.0</v>
      </c>
      <c r="CR49" s="6">
        <v>7.0</v>
      </c>
      <c r="CS49" s="6">
        <v>0.0</v>
      </c>
      <c r="CT49" s="6">
        <v>1.0</v>
      </c>
      <c r="CU49" s="4">
        <f t="shared" si="2"/>
        <v>18880</v>
      </c>
      <c r="CV49" s="4">
        <v>351.0</v>
      </c>
      <c r="CW49" s="4">
        <v>309.0</v>
      </c>
      <c r="CX49" s="4">
        <f t="shared" si="3"/>
        <v>660</v>
      </c>
    </row>
    <row r="50">
      <c r="A50" s="4">
        <v>49.0</v>
      </c>
      <c r="B50" s="4" t="s">
        <v>181</v>
      </c>
      <c r="C50" s="4" t="s">
        <v>182</v>
      </c>
      <c r="D50" s="4" t="s">
        <v>139</v>
      </c>
      <c r="E50" s="4">
        <v>2025.0</v>
      </c>
      <c r="F50" s="4">
        <v>14.07</v>
      </c>
      <c r="G50" s="4">
        <v>283.0</v>
      </c>
      <c r="H50" s="4">
        <v>876.0</v>
      </c>
      <c r="I50" s="4">
        <v>876.0</v>
      </c>
      <c r="J50" s="4">
        <v>876.0</v>
      </c>
      <c r="K50" s="4">
        <v>876.0</v>
      </c>
      <c r="L50" s="4">
        <v>0.0</v>
      </c>
      <c r="M50" s="4">
        <v>0.0</v>
      </c>
      <c r="N50" s="4">
        <v>14.0</v>
      </c>
      <c r="O50" s="4">
        <v>14.0</v>
      </c>
      <c r="P50" s="4">
        <v>14.0</v>
      </c>
      <c r="Q50" s="4">
        <v>14.0</v>
      </c>
      <c r="R50" s="4">
        <v>10.0</v>
      </c>
      <c r="S50" s="4">
        <v>0.0</v>
      </c>
      <c r="T50" s="4">
        <v>305.0</v>
      </c>
      <c r="U50" s="4">
        <v>305.0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0.0</v>
      </c>
      <c r="AG50" s="4">
        <v>0.0</v>
      </c>
      <c r="AH50" s="4">
        <v>0.0</v>
      </c>
      <c r="AI50" s="4">
        <v>0.0</v>
      </c>
      <c r="AJ50" s="4">
        <v>0.0</v>
      </c>
      <c r="AK50" s="4">
        <v>0.0</v>
      </c>
      <c r="AL50" s="4">
        <f t="shared" si="1"/>
        <v>4180</v>
      </c>
      <c r="AM50" s="4">
        <v>2680.0</v>
      </c>
      <c r="AN50" s="4">
        <v>767.0</v>
      </c>
      <c r="AO50" s="4">
        <v>3447.0</v>
      </c>
      <c r="AP50" s="4">
        <v>1381.0</v>
      </c>
      <c r="AQ50" s="4">
        <v>1989.0</v>
      </c>
      <c r="AR50" s="4">
        <v>77.0</v>
      </c>
      <c r="AS50" s="4">
        <v>551.0</v>
      </c>
      <c r="AT50" s="4">
        <v>1695.0</v>
      </c>
      <c r="AU50" s="4">
        <v>451.0</v>
      </c>
      <c r="AV50" s="4">
        <v>1788.0</v>
      </c>
      <c r="AW50" s="4">
        <v>7.0</v>
      </c>
      <c r="AX50" s="4">
        <v>0.0</v>
      </c>
      <c r="AY50" s="4">
        <v>35.0</v>
      </c>
      <c r="AZ50" s="4">
        <v>18.0</v>
      </c>
      <c r="BA50" s="4">
        <v>53.0</v>
      </c>
      <c r="BB50" s="4">
        <v>28.0</v>
      </c>
      <c r="BC50" s="4">
        <v>25.0</v>
      </c>
      <c r="BD50" s="4">
        <v>0.0</v>
      </c>
      <c r="BE50" s="4">
        <v>8.0</v>
      </c>
      <c r="BF50" s="4">
        <v>31.0</v>
      </c>
      <c r="BG50" s="4">
        <v>3.0</v>
      </c>
      <c r="BH50" s="4">
        <v>36.0</v>
      </c>
      <c r="BI50" s="4">
        <v>0.0</v>
      </c>
      <c r="BJ50" s="4">
        <v>0.0</v>
      </c>
      <c r="BK50" s="4">
        <v>263.0</v>
      </c>
      <c r="BL50" s="4">
        <v>92.0</v>
      </c>
      <c r="BM50" s="4">
        <v>355.0</v>
      </c>
      <c r="BN50" s="4">
        <v>117.0</v>
      </c>
      <c r="BO50" s="4">
        <v>235.0</v>
      </c>
      <c r="BP50" s="4">
        <v>3.0</v>
      </c>
      <c r="BQ50" s="4">
        <v>27.0</v>
      </c>
      <c r="BR50" s="4">
        <v>215.0</v>
      </c>
      <c r="BS50" s="4">
        <v>0.0</v>
      </c>
      <c r="BT50" s="4">
        <v>242.0</v>
      </c>
      <c r="BU50" s="4">
        <v>0.0</v>
      </c>
      <c r="BV50" s="4">
        <v>0.0</v>
      </c>
      <c r="BW50" s="4">
        <v>0.0</v>
      </c>
      <c r="BX50" s="4">
        <v>0.0</v>
      </c>
      <c r="BY50" s="4">
        <v>0.0</v>
      </c>
      <c r="BZ50" s="4">
        <v>0.0</v>
      </c>
      <c r="CA50" s="4">
        <v>0.0</v>
      </c>
      <c r="CB50" s="4">
        <v>0.0</v>
      </c>
      <c r="CC50" s="4">
        <v>0.0</v>
      </c>
      <c r="CD50" s="4">
        <v>0.0</v>
      </c>
      <c r="CE50" s="4">
        <v>0.0</v>
      </c>
      <c r="CF50" s="4">
        <v>0.0</v>
      </c>
      <c r="CG50" s="4">
        <v>0.0</v>
      </c>
      <c r="CH50" s="4">
        <v>0.0</v>
      </c>
      <c r="CI50" s="4">
        <v>0.0</v>
      </c>
      <c r="CJ50" s="4">
        <v>0.0</v>
      </c>
      <c r="CK50" s="4">
        <v>0.0</v>
      </c>
      <c r="CL50" s="4">
        <v>0.0</v>
      </c>
      <c r="CM50" s="4">
        <v>0.0</v>
      </c>
      <c r="CN50" s="4">
        <v>0.0</v>
      </c>
      <c r="CO50" s="4">
        <v>0.0</v>
      </c>
      <c r="CP50" s="4">
        <v>0.0</v>
      </c>
      <c r="CQ50" s="4">
        <v>0.0</v>
      </c>
      <c r="CR50" s="4">
        <v>0.0</v>
      </c>
      <c r="CS50" s="4">
        <v>0.0</v>
      </c>
      <c r="CT50" s="4">
        <v>0.0</v>
      </c>
      <c r="CU50" s="4">
        <f t="shared" si="2"/>
        <v>3855</v>
      </c>
      <c r="CV50" s="4">
        <v>424.0</v>
      </c>
      <c r="CW50" s="4">
        <v>190.0</v>
      </c>
      <c r="CX50" s="4">
        <f t="shared" si="3"/>
        <v>614</v>
      </c>
    </row>
    <row r="51">
      <c r="A51" s="4">
        <v>50.0</v>
      </c>
      <c r="B51" s="4" t="s">
        <v>183</v>
      </c>
      <c r="C51" s="4" t="s">
        <v>184</v>
      </c>
      <c r="D51" s="4" t="s">
        <v>139</v>
      </c>
      <c r="E51" s="4">
        <v>2025.0</v>
      </c>
      <c r="F51" s="4">
        <v>14.42</v>
      </c>
      <c r="G51" s="4">
        <v>257.0</v>
      </c>
      <c r="H51" s="4">
        <v>825.0</v>
      </c>
      <c r="I51" s="4">
        <v>825.0</v>
      </c>
      <c r="J51" s="4">
        <v>825.0</v>
      </c>
      <c r="K51" s="4">
        <v>825.0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368.0</v>
      </c>
      <c r="U51" s="4">
        <v>368.0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0.0</v>
      </c>
      <c r="AG51" s="4">
        <v>0.0</v>
      </c>
      <c r="AH51" s="4">
        <v>0.0</v>
      </c>
      <c r="AI51" s="4">
        <v>0.0</v>
      </c>
      <c r="AJ51" s="4">
        <v>0.0</v>
      </c>
      <c r="AK51" s="4">
        <v>0.0</v>
      </c>
      <c r="AL51" s="4">
        <f t="shared" si="1"/>
        <v>4036</v>
      </c>
      <c r="AM51" s="4">
        <v>2848.0</v>
      </c>
      <c r="AN51" s="4">
        <v>674.0</v>
      </c>
      <c r="AO51" s="4">
        <v>3522.0</v>
      </c>
      <c r="AP51" s="4">
        <v>1691.0</v>
      </c>
      <c r="AQ51" s="4">
        <v>1699.0</v>
      </c>
      <c r="AR51" s="4">
        <v>132.0</v>
      </c>
      <c r="AS51" s="4">
        <v>798.0</v>
      </c>
      <c r="AT51" s="4">
        <v>1789.0</v>
      </c>
      <c r="AU51" s="4">
        <v>575.0</v>
      </c>
      <c r="AV51" s="4">
        <v>1056.0</v>
      </c>
      <c r="AW51" s="4">
        <v>1.0</v>
      </c>
      <c r="AX51" s="4">
        <v>955.0</v>
      </c>
      <c r="AY51" s="4">
        <v>0.0</v>
      </c>
      <c r="AZ51" s="4">
        <v>0.0</v>
      </c>
      <c r="BA51" s="4">
        <v>0.0</v>
      </c>
      <c r="BB51" s="4">
        <v>0.0</v>
      </c>
      <c r="BC51" s="4">
        <v>0.0</v>
      </c>
      <c r="BD51" s="4">
        <v>0.0</v>
      </c>
      <c r="BE51" s="4">
        <v>0.0</v>
      </c>
      <c r="BF51" s="4">
        <v>0.0</v>
      </c>
      <c r="BG51" s="4">
        <v>0.0</v>
      </c>
      <c r="BH51" s="4">
        <v>0.0</v>
      </c>
      <c r="BI51" s="4">
        <v>0.0</v>
      </c>
      <c r="BJ51" s="4">
        <v>0.0</v>
      </c>
      <c r="BK51" s="4">
        <v>253.0</v>
      </c>
      <c r="BL51" s="4">
        <v>66.0</v>
      </c>
      <c r="BM51" s="4">
        <v>319.0</v>
      </c>
      <c r="BN51" s="4">
        <v>131.0</v>
      </c>
      <c r="BO51" s="4">
        <v>185.0</v>
      </c>
      <c r="BP51" s="4">
        <v>3.0</v>
      </c>
      <c r="BQ51" s="4">
        <v>16.0</v>
      </c>
      <c r="BR51" s="4">
        <v>151.0</v>
      </c>
      <c r="BS51" s="4">
        <v>3.0</v>
      </c>
      <c r="BT51" s="4">
        <v>82.0</v>
      </c>
      <c r="BU51" s="4">
        <v>0.0</v>
      </c>
      <c r="BV51" s="4">
        <v>82.0</v>
      </c>
      <c r="BW51" s="4">
        <v>0.0</v>
      </c>
      <c r="BX51" s="4">
        <v>0.0</v>
      </c>
      <c r="BY51" s="4">
        <v>0.0</v>
      </c>
      <c r="BZ51" s="4">
        <v>0.0</v>
      </c>
      <c r="CA51" s="4">
        <v>0.0</v>
      </c>
      <c r="CB51" s="4">
        <v>0.0</v>
      </c>
      <c r="CC51" s="4">
        <v>0.0</v>
      </c>
      <c r="CD51" s="4">
        <v>0.0</v>
      </c>
      <c r="CE51" s="4">
        <v>0.0</v>
      </c>
      <c r="CF51" s="4">
        <v>0.0</v>
      </c>
      <c r="CG51" s="4">
        <v>0.0</v>
      </c>
      <c r="CH51" s="4">
        <v>0.0</v>
      </c>
      <c r="CI51" s="4">
        <v>0.0</v>
      </c>
      <c r="CJ51" s="4">
        <v>0.0</v>
      </c>
      <c r="CK51" s="4">
        <v>0.0</v>
      </c>
      <c r="CL51" s="4">
        <v>0.0</v>
      </c>
      <c r="CM51" s="4">
        <v>0.0</v>
      </c>
      <c r="CN51" s="4">
        <v>0.0</v>
      </c>
      <c r="CO51" s="4">
        <v>0.0</v>
      </c>
      <c r="CP51" s="4">
        <v>0.0</v>
      </c>
      <c r="CQ51" s="4">
        <v>0.0</v>
      </c>
      <c r="CR51" s="4">
        <v>0.0</v>
      </c>
      <c r="CS51" s="4">
        <v>0.0</v>
      </c>
      <c r="CT51" s="4">
        <v>0.0</v>
      </c>
      <c r="CU51" s="4">
        <f t="shared" si="2"/>
        <v>3841</v>
      </c>
      <c r="CV51" s="4">
        <v>315.0</v>
      </c>
      <c r="CW51" s="4">
        <v>331.0</v>
      </c>
      <c r="CX51" s="4">
        <f t="shared" si="3"/>
        <v>646</v>
      </c>
    </row>
    <row r="52">
      <c r="A52" s="4">
        <v>51.0</v>
      </c>
      <c r="B52" s="4" t="s">
        <v>185</v>
      </c>
      <c r="C52" s="4" t="s">
        <v>186</v>
      </c>
      <c r="D52" s="4" t="s">
        <v>118</v>
      </c>
      <c r="E52" s="4">
        <v>2025.0</v>
      </c>
      <c r="F52" s="4">
        <v>18.5</v>
      </c>
      <c r="G52" s="4">
        <v>280.0</v>
      </c>
      <c r="H52" s="4">
        <v>930.0</v>
      </c>
      <c r="I52" s="4">
        <v>840.0</v>
      </c>
      <c r="J52" s="4">
        <v>780.0</v>
      </c>
      <c r="K52" s="4">
        <v>780.0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220.0</v>
      </c>
      <c r="U52" s="4">
        <v>190.0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  <c r="AG52" s="4">
        <v>0.0</v>
      </c>
      <c r="AH52" s="4">
        <v>0.0</v>
      </c>
      <c r="AI52" s="4">
        <v>0.0</v>
      </c>
      <c r="AJ52" s="4">
        <v>0.0</v>
      </c>
      <c r="AK52" s="4">
        <v>0.0</v>
      </c>
      <c r="AL52" s="4">
        <f t="shared" si="1"/>
        <v>3740</v>
      </c>
      <c r="AM52" s="4">
        <v>3064.0</v>
      </c>
      <c r="AN52" s="4">
        <v>436.0</v>
      </c>
      <c r="AO52" s="4">
        <v>3500.0</v>
      </c>
      <c r="AP52" s="4">
        <v>1998.0</v>
      </c>
      <c r="AQ52" s="4">
        <v>1438.0</v>
      </c>
      <c r="AR52" s="4">
        <v>74.0</v>
      </c>
      <c r="AS52" s="4">
        <v>631.0</v>
      </c>
      <c r="AT52" s="4">
        <v>1219.0</v>
      </c>
      <c r="AU52" s="4">
        <v>446.0</v>
      </c>
      <c r="AV52" s="4">
        <v>108.0</v>
      </c>
      <c r="AW52" s="4">
        <v>43.0</v>
      </c>
      <c r="AX52" s="4">
        <v>1253.0</v>
      </c>
      <c r="AY52" s="4">
        <v>0.0</v>
      </c>
      <c r="AZ52" s="4">
        <v>0.0</v>
      </c>
      <c r="BA52" s="4">
        <v>0.0</v>
      </c>
      <c r="BB52" s="4">
        <v>0.0</v>
      </c>
      <c r="BC52" s="4">
        <v>0.0</v>
      </c>
      <c r="BD52" s="4">
        <v>0.0</v>
      </c>
      <c r="BE52" s="4">
        <v>0.0</v>
      </c>
      <c r="BF52" s="4">
        <v>0.0</v>
      </c>
      <c r="BG52" s="4">
        <v>0.0</v>
      </c>
      <c r="BH52" s="4">
        <v>0.0</v>
      </c>
      <c r="BI52" s="4">
        <v>0.0</v>
      </c>
      <c r="BJ52" s="4">
        <v>0.0</v>
      </c>
      <c r="BK52" s="4">
        <v>164.0</v>
      </c>
      <c r="BL52" s="4">
        <v>59.0</v>
      </c>
      <c r="BM52" s="4">
        <v>223.0</v>
      </c>
      <c r="BN52" s="4">
        <v>73.0</v>
      </c>
      <c r="BO52" s="4">
        <v>150.0</v>
      </c>
      <c r="BP52" s="4">
        <v>0.0</v>
      </c>
      <c r="BQ52" s="4">
        <v>10.0</v>
      </c>
      <c r="BR52" s="4">
        <v>50.0</v>
      </c>
      <c r="BS52" s="4">
        <v>14.0</v>
      </c>
      <c r="BT52" s="4">
        <v>1.0</v>
      </c>
      <c r="BU52" s="4">
        <v>0.0</v>
      </c>
      <c r="BV52" s="4">
        <v>45.0</v>
      </c>
      <c r="BW52" s="4">
        <v>0.0</v>
      </c>
      <c r="BX52" s="4">
        <v>0.0</v>
      </c>
      <c r="BY52" s="4">
        <v>0.0</v>
      </c>
      <c r="BZ52" s="4">
        <v>0.0</v>
      </c>
      <c r="CA52" s="4">
        <v>0.0</v>
      </c>
      <c r="CB52" s="4">
        <v>0.0</v>
      </c>
      <c r="CC52" s="4">
        <v>0.0</v>
      </c>
      <c r="CD52" s="4">
        <v>0.0</v>
      </c>
      <c r="CE52" s="4">
        <v>0.0</v>
      </c>
      <c r="CF52" s="4">
        <v>0.0</v>
      </c>
      <c r="CG52" s="4">
        <v>0.0</v>
      </c>
      <c r="CH52" s="4">
        <v>0.0</v>
      </c>
      <c r="CI52" s="4">
        <v>0.0</v>
      </c>
      <c r="CJ52" s="4">
        <v>0.0</v>
      </c>
      <c r="CK52" s="4">
        <v>0.0</v>
      </c>
      <c r="CL52" s="4">
        <v>0.0</v>
      </c>
      <c r="CM52" s="4">
        <v>0.0</v>
      </c>
      <c r="CN52" s="4">
        <v>0.0</v>
      </c>
      <c r="CO52" s="4">
        <v>0.0</v>
      </c>
      <c r="CP52" s="4">
        <v>0.0</v>
      </c>
      <c r="CQ52" s="4">
        <v>0.0</v>
      </c>
      <c r="CR52" s="4">
        <v>0.0</v>
      </c>
      <c r="CS52" s="4">
        <v>0.0</v>
      </c>
      <c r="CT52" s="4">
        <v>0.0</v>
      </c>
      <c r="CU52" s="4">
        <f t="shared" si="2"/>
        <v>3723</v>
      </c>
      <c r="CV52" s="4">
        <v>352.0</v>
      </c>
      <c r="CW52" s="4">
        <v>82.0</v>
      </c>
      <c r="CX52" s="4">
        <f t="shared" si="3"/>
        <v>434</v>
      </c>
    </row>
    <row r="53">
      <c r="A53" s="4">
        <v>52.0</v>
      </c>
      <c r="B53" s="4" t="s">
        <v>187</v>
      </c>
      <c r="C53" s="4" t="s">
        <v>171</v>
      </c>
      <c r="D53" s="4" t="s">
        <v>146</v>
      </c>
      <c r="E53" s="4">
        <v>2025.0</v>
      </c>
      <c r="F53" s="4">
        <v>13.45</v>
      </c>
      <c r="G53" s="4">
        <v>360.0</v>
      </c>
      <c r="H53" s="4">
        <v>1350.0</v>
      </c>
      <c r="I53" s="4">
        <v>1110.0</v>
      </c>
      <c r="J53" s="4">
        <v>1110.0</v>
      </c>
      <c r="K53" s="4">
        <v>1110.0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90.0</v>
      </c>
      <c r="U53" s="4">
        <v>90.0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  <c r="AG53" s="4">
        <v>0.0</v>
      </c>
      <c r="AH53" s="4">
        <v>0.0</v>
      </c>
      <c r="AI53" s="4">
        <v>0.0</v>
      </c>
      <c r="AJ53" s="4">
        <v>0.0</v>
      </c>
      <c r="AK53" s="4">
        <v>0.0</v>
      </c>
      <c r="AL53" s="4">
        <f t="shared" si="1"/>
        <v>4860</v>
      </c>
      <c r="AM53" s="4">
        <v>3236.0</v>
      </c>
      <c r="AN53" s="4">
        <v>1431.0</v>
      </c>
      <c r="AO53" s="4">
        <v>4667.0</v>
      </c>
      <c r="AP53" s="4">
        <v>2167.0</v>
      </c>
      <c r="AQ53" s="4">
        <v>2450.0</v>
      </c>
      <c r="AR53" s="4">
        <v>50.0</v>
      </c>
      <c r="AS53" s="4">
        <v>280.0</v>
      </c>
      <c r="AT53" s="4">
        <v>742.0</v>
      </c>
      <c r="AU53" s="4">
        <v>0.0</v>
      </c>
      <c r="AV53" s="4">
        <v>280.0</v>
      </c>
      <c r="AW53" s="4">
        <v>0.0</v>
      </c>
      <c r="AX53" s="4">
        <v>742.0</v>
      </c>
      <c r="AY53" s="4">
        <v>0.0</v>
      </c>
      <c r="AZ53" s="4">
        <v>0.0</v>
      </c>
      <c r="BA53" s="4">
        <v>0.0</v>
      </c>
      <c r="BB53" s="4">
        <v>0.0</v>
      </c>
      <c r="BC53" s="4">
        <v>0.0</v>
      </c>
      <c r="BD53" s="4">
        <v>0.0</v>
      </c>
      <c r="BE53" s="4">
        <v>0.0</v>
      </c>
      <c r="BF53" s="4">
        <v>0.0</v>
      </c>
      <c r="BG53" s="4">
        <v>0.0</v>
      </c>
      <c r="BH53" s="4">
        <v>0.0</v>
      </c>
      <c r="BI53" s="4">
        <v>0.0</v>
      </c>
      <c r="BJ53" s="4">
        <v>0.0</v>
      </c>
      <c r="BK53" s="4">
        <v>63.0</v>
      </c>
      <c r="BL53" s="4">
        <v>28.0</v>
      </c>
      <c r="BM53" s="4">
        <v>91.0</v>
      </c>
      <c r="BN53" s="4">
        <v>63.0</v>
      </c>
      <c r="BO53" s="4">
        <v>28.0</v>
      </c>
      <c r="BP53" s="4">
        <v>0.0</v>
      </c>
      <c r="BQ53" s="4">
        <v>20.0</v>
      </c>
      <c r="BR53" s="4">
        <v>17.0</v>
      </c>
      <c r="BS53" s="4">
        <v>0.0</v>
      </c>
      <c r="BT53" s="4">
        <v>20.0</v>
      </c>
      <c r="BU53" s="4">
        <v>0.0</v>
      </c>
      <c r="BV53" s="4">
        <v>17.0</v>
      </c>
      <c r="BW53" s="4">
        <v>0.0</v>
      </c>
      <c r="BX53" s="4">
        <v>0.0</v>
      </c>
      <c r="BY53" s="4">
        <v>0.0</v>
      </c>
      <c r="BZ53" s="4">
        <v>0.0</v>
      </c>
      <c r="CA53" s="4">
        <v>0.0</v>
      </c>
      <c r="CB53" s="4">
        <v>0.0</v>
      </c>
      <c r="CC53" s="4">
        <v>0.0</v>
      </c>
      <c r="CD53" s="4">
        <v>0.0</v>
      </c>
      <c r="CE53" s="4">
        <v>0.0</v>
      </c>
      <c r="CF53" s="4">
        <v>0.0</v>
      </c>
      <c r="CG53" s="4">
        <v>0.0</v>
      </c>
      <c r="CH53" s="4">
        <v>0.0</v>
      </c>
      <c r="CI53" s="4">
        <v>0.0</v>
      </c>
      <c r="CJ53" s="4">
        <v>0.0</v>
      </c>
      <c r="CK53" s="4">
        <v>0.0</v>
      </c>
      <c r="CL53" s="4">
        <v>0.0</v>
      </c>
      <c r="CM53" s="4">
        <v>0.0</v>
      </c>
      <c r="CN53" s="4">
        <v>0.0</v>
      </c>
      <c r="CO53" s="4">
        <v>0.0</v>
      </c>
      <c r="CP53" s="4">
        <v>0.0</v>
      </c>
      <c r="CQ53" s="4">
        <v>0.0</v>
      </c>
      <c r="CR53" s="4">
        <v>0.0</v>
      </c>
      <c r="CS53" s="4">
        <v>0.0</v>
      </c>
      <c r="CT53" s="4">
        <v>0.0</v>
      </c>
      <c r="CU53" s="4">
        <f t="shared" si="2"/>
        <v>4758</v>
      </c>
      <c r="CV53" s="4">
        <v>54.0</v>
      </c>
      <c r="CW53" s="4">
        <v>220.0</v>
      </c>
      <c r="CX53" s="4">
        <f t="shared" si="3"/>
        <v>274</v>
      </c>
    </row>
    <row r="54">
      <c r="A54" s="4">
        <v>53.0</v>
      </c>
      <c r="B54" s="4" t="s">
        <v>188</v>
      </c>
      <c r="C54" s="4" t="s">
        <v>130</v>
      </c>
      <c r="D54" s="4" t="s">
        <v>139</v>
      </c>
      <c r="E54" s="4">
        <v>2025.0</v>
      </c>
      <c r="F54" s="4">
        <v>12.3</v>
      </c>
      <c r="G54" s="4">
        <v>173.0</v>
      </c>
      <c r="H54" s="4">
        <v>746.0</v>
      </c>
      <c r="I54" s="4">
        <v>753.0</v>
      </c>
      <c r="J54" s="4">
        <v>759.0</v>
      </c>
      <c r="K54" s="4">
        <v>766.0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265.0</v>
      </c>
      <c r="U54" s="4">
        <v>238.0</v>
      </c>
      <c r="V54" s="4">
        <v>0.0</v>
      </c>
      <c r="W54" s="4">
        <v>0.0</v>
      </c>
      <c r="X54" s="4">
        <v>0.0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0.0</v>
      </c>
      <c r="AG54" s="4">
        <v>0.0</v>
      </c>
      <c r="AH54" s="4">
        <v>0.0</v>
      </c>
      <c r="AI54" s="4">
        <v>0.0</v>
      </c>
      <c r="AJ54" s="4">
        <v>0.0</v>
      </c>
      <c r="AK54" s="4">
        <v>0.0</v>
      </c>
      <c r="AL54" s="4">
        <f t="shared" si="1"/>
        <v>3527</v>
      </c>
      <c r="AM54" s="4">
        <v>2320.0</v>
      </c>
      <c r="AN54" s="4">
        <v>570.0</v>
      </c>
      <c r="AO54" s="4">
        <v>2890.0</v>
      </c>
      <c r="AP54" s="4">
        <v>1719.0</v>
      </c>
      <c r="AQ54" s="4">
        <v>1154.0</v>
      </c>
      <c r="AR54" s="4">
        <v>17.0</v>
      </c>
      <c r="AS54" s="4">
        <v>878.0</v>
      </c>
      <c r="AT54" s="4">
        <v>1653.0</v>
      </c>
      <c r="AU54" s="4">
        <v>564.0</v>
      </c>
      <c r="AV54" s="4">
        <v>1769.0</v>
      </c>
      <c r="AW54" s="4">
        <v>198.0</v>
      </c>
      <c r="AX54" s="4">
        <v>0.0</v>
      </c>
      <c r="AY54" s="4">
        <v>0.0</v>
      </c>
      <c r="AZ54" s="4">
        <v>0.0</v>
      </c>
      <c r="BA54" s="4">
        <v>0.0</v>
      </c>
      <c r="BB54" s="4">
        <v>0.0</v>
      </c>
      <c r="BC54" s="4">
        <v>0.0</v>
      </c>
      <c r="BD54" s="4">
        <v>0.0</v>
      </c>
      <c r="BE54" s="4">
        <v>0.0</v>
      </c>
      <c r="BF54" s="4">
        <v>0.0</v>
      </c>
      <c r="BG54" s="4">
        <v>0.0</v>
      </c>
      <c r="BH54" s="4">
        <v>0.0</v>
      </c>
      <c r="BI54" s="4">
        <v>0.0</v>
      </c>
      <c r="BJ54" s="4">
        <v>0.0</v>
      </c>
      <c r="BK54" s="4">
        <v>208.0</v>
      </c>
      <c r="BL54" s="4">
        <v>27.0</v>
      </c>
      <c r="BM54" s="4">
        <v>235.0</v>
      </c>
      <c r="BN54" s="4">
        <v>133.0</v>
      </c>
      <c r="BO54" s="4">
        <v>102.0</v>
      </c>
      <c r="BP54" s="4">
        <v>0.0</v>
      </c>
      <c r="BQ54" s="4">
        <v>20.0</v>
      </c>
      <c r="BR54" s="4">
        <v>103.0</v>
      </c>
      <c r="BS54" s="4">
        <v>0.0</v>
      </c>
      <c r="BT54" s="4">
        <v>0.0</v>
      </c>
      <c r="BU54" s="4">
        <v>0.0</v>
      </c>
      <c r="BV54" s="4">
        <v>123.0</v>
      </c>
      <c r="BW54" s="4">
        <v>0.0</v>
      </c>
      <c r="BX54" s="4">
        <v>0.0</v>
      </c>
      <c r="BY54" s="4">
        <v>0.0</v>
      </c>
      <c r="BZ54" s="4">
        <v>0.0</v>
      </c>
      <c r="CA54" s="4">
        <v>0.0</v>
      </c>
      <c r="CB54" s="4">
        <v>0.0</v>
      </c>
      <c r="CC54" s="4">
        <v>0.0</v>
      </c>
      <c r="CD54" s="4">
        <v>0.0</v>
      </c>
      <c r="CE54" s="4">
        <v>0.0</v>
      </c>
      <c r="CF54" s="4">
        <v>0.0</v>
      </c>
      <c r="CG54" s="4">
        <v>0.0</v>
      </c>
      <c r="CH54" s="4">
        <v>0.0</v>
      </c>
      <c r="CI54" s="4">
        <v>0.0</v>
      </c>
      <c r="CJ54" s="4">
        <v>0.0</v>
      </c>
      <c r="CK54" s="4">
        <v>0.0</v>
      </c>
      <c r="CL54" s="4">
        <v>0.0</v>
      </c>
      <c r="CM54" s="4">
        <v>0.0</v>
      </c>
      <c r="CN54" s="4">
        <v>0.0</v>
      </c>
      <c r="CO54" s="4">
        <v>0.0</v>
      </c>
      <c r="CP54" s="4">
        <v>0.0</v>
      </c>
      <c r="CQ54" s="4">
        <v>0.0</v>
      </c>
      <c r="CR54" s="4">
        <v>0.0</v>
      </c>
      <c r="CS54" s="4">
        <v>0.0</v>
      </c>
      <c r="CT54" s="4">
        <v>0.0</v>
      </c>
      <c r="CU54" s="4">
        <f t="shared" si="2"/>
        <v>3125</v>
      </c>
      <c r="CV54" s="4">
        <v>333.0</v>
      </c>
      <c r="CW54" s="4">
        <v>1009.0</v>
      </c>
      <c r="CX54" s="4">
        <f t="shared" si="3"/>
        <v>1342</v>
      </c>
    </row>
    <row r="55">
      <c r="A55" s="4">
        <v>54.0</v>
      </c>
      <c r="B55" s="4" t="s">
        <v>189</v>
      </c>
      <c r="C55" s="4" t="s">
        <v>190</v>
      </c>
      <c r="D55" s="4" t="s">
        <v>139</v>
      </c>
      <c r="E55" s="4">
        <v>2025.0</v>
      </c>
      <c r="F55" s="4">
        <v>12.27</v>
      </c>
      <c r="G55" s="4">
        <v>279.0</v>
      </c>
      <c r="H55" s="4">
        <v>740.0</v>
      </c>
      <c r="I55" s="4">
        <v>740.0</v>
      </c>
      <c r="J55" s="4">
        <v>740.0</v>
      </c>
      <c r="K55" s="4">
        <v>740.0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420.0</v>
      </c>
      <c r="U55" s="4">
        <v>426.0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0.0</v>
      </c>
      <c r="AG55" s="4">
        <v>0.0</v>
      </c>
      <c r="AH55" s="4">
        <v>0.0</v>
      </c>
      <c r="AI55" s="4">
        <v>0.0</v>
      </c>
      <c r="AJ55" s="4">
        <v>0.0</v>
      </c>
      <c r="AK55" s="4">
        <v>0.0</v>
      </c>
      <c r="AL55" s="4">
        <f t="shared" si="1"/>
        <v>3806</v>
      </c>
      <c r="AM55" s="4">
        <v>2192.0</v>
      </c>
      <c r="AN55" s="4">
        <v>572.0</v>
      </c>
      <c r="AO55" s="4">
        <v>2764.0</v>
      </c>
      <c r="AP55" s="4">
        <v>1304.0</v>
      </c>
      <c r="AQ55" s="4">
        <v>1421.0</v>
      </c>
      <c r="AR55" s="4">
        <v>39.0</v>
      </c>
      <c r="AS55" s="4">
        <v>344.0</v>
      </c>
      <c r="AT55" s="4">
        <v>1317.0</v>
      </c>
      <c r="AU55" s="4">
        <v>527.0</v>
      </c>
      <c r="AV55" s="4">
        <v>859.0</v>
      </c>
      <c r="AW55" s="4">
        <v>80.0</v>
      </c>
      <c r="AX55" s="4">
        <v>195.0</v>
      </c>
      <c r="AY55" s="4">
        <v>0.0</v>
      </c>
      <c r="AZ55" s="4">
        <v>0.0</v>
      </c>
      <c r="BA55" s="4">
        <v>0.0</v>
      </c>
      <c r="BB55" s="4">
        <v>0.0</v>
      </c>
      <c r="BC55" s="4">
        <v>0.0</v>
      </c>
      <c r="BD55" s="4">
        <v>0.0</v>
      </c>
      <c r="BE55" s="4">
        <v>0.0</v>
      </c>
      <c r="BF55" s="4">
        <v>0.0</v>
      </c>
      <c r="BG55" s="4">
        <v>0.0</v>
      </c>
      <c r="BH55" s="4">
        <v>0.0</v>
      </c>
      <c r="BI55" s="4">
        <v>0.0</v>
      </c>
      <c r="BJ55" s="4">
        <v>0.0</v>
      </c>
      <c r="BK55" s="4">
        <v>197.0</v>
      </c>
      <c r="BL55" s="4">
        <v>38.0</v>
      </c>
      <c r="BM55" s="4">
        <v>235.0</v>
      </c>
      <c r="BN55" s="4">
        <v>176.0</v>
      </c>
      <c r="BO55" s="4">
        <v>59.0</v>
      </c>
      <c r="BP55" s="4">
        <v>0.0</v>
      </c>
      <c r="BQ55" s="4">
        <v>17.0</v>
      </c>
      <c r="BR55" s="4">
        <v>91.0</v>
      </c>
      <c r="BS55" s="4">
        <v>51.0</v>
      </c>
      <c r="BT55" s="4">
        <v>0.0</v>
      </c>
      <c r="BU55" s="4">
        <v>0.0</v>
      </c>
      <c r="BV55" s="4">
        <v>57.0</v>
      </c>
      <c r="BW55" s="4">
        <v>0.0</v>
      </c>
      <c r="BX55" s="4">
        <v>0.0</v>
      </c>
      <c r="BY55" s="4">
        <v>0.0</v>
      </c>
      <c r="BZ55" s="4">
        <v>0.0</v>
      </c>
      <c r="CA55" s="4">
        <v>0.0</v>
      </c>
      <c r="CB55" s="4">
        <v>0.0</v>
      </c>
      <c r="CC55" s="4">
        <v>0.0</v>
      </c>
      <c r="CD55" s="4">
        <v>0.0</v>
      </c>
      <c r="CE55" s="4">
        <v>0.0</v>
      </c>
      <c r="CF55" s="4">
        <v>0.0</v>
      </c>
      <c r="CG55" s="4">
        <v>0.0</v>
      </c>
      <c r="CH55" s="4">
        <v>0.0</v>
      </c>
      <c r="CI55" s="4">
        <v>0.0</v>
      </c>
      <c r="CJ55" s="4">
        <v>0.0</v>
      </c>
      <c r="CK55" s="4">
        <v>0.0</v>
      </c>
      <c r="CL55" s="4">
        <v>0.0</v>
      </c>
      <c r="CM55" s="4">
        <v>0.0</v>
      </c>
      <c r="CN55" s="4">
        <v>0.0</v>
      </c>
      <c r="CO55" s="4">
        <v>0.0</v>
      </c>
      <c r="CP55" s="4">
        <v>0.0</v>
      </c>
      <c r="CQ55" s="4">
        <v>0.0</v>
      </c>
      <c r="CR55" s="4">
        <v>0.0</v>
      </c>
      <c r="CS55" s="4">
        <v>0.0</v>
      </c>
      <c r="CT55" s="4">
        <v>0.0</v>
      </c>
      <c r="CU55" s="4">
        <f t="shared" si="2"/>
        <v>2999</v>
      </c>
      <c r="CV55" s="4">
        <v>747.0</v>
      </c>
      <c r="CW55" s="4">
        <v>0.0</v>
      </c>
      <c r="CX55" s="4">
        <f t="shared" si="3"/>
        <v>747</v>
      </c>
    </row>
    <row r="56">
      <c r="A56" s="4">
        <v>55.0</v>
      </c>
      <c r="B56" s="4" t="s">
        <v>191</v>
      </c>
      <c r="C56" s="4" t="s">
        <v>192</v>
      </c>
      <c r="D56" s="4" t="s">
        <v>139</v>
      </c>
      <c r="E56" s="4">
        <v>2025.0</v>
      </c>
      <c r="F56" s="4">
        <v>14.0</v>
      </c>
      <c r="G56" s="4">
        <v>397.0</v>
      </c>
      <c r="H56" s="4">
        <v>1103.0</v>
      </c>
      <c r="I56" s="4">
        <v>1112.0</v>
      </c>
      <c r="J56" s="4">
        <v>1117.0</v>
      </c>
      <c r="K56" s="4">
        <v>1117.0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380.0</v>
      </c>
      <c r="U56" s="4">
        <v>634.0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  <c r="AG56" s="4">
        <v>0.0</v>
      </c>
      <c r="AH56" s="4">
        <v>0.0</v>
      </c>
      <c r="AI56" s="4">
        <v>0.0</v>
      </c>
      <c r="AJ56" s="4">
        <v>0.0</v>
      </c>
      <c r="AK56" s="4">
        <v>0.0</v>
      </c>
      <c r="AL56" s="4">
        <f t="shared" si="1"/>
        <v>5463</v>
      </c>
      <c r="AM56" s="4">
        <v>3444.0</v>
      </c>
      <c r="AN56" s="4">
        <v>999.0</v>
      </c>
      <c r="AO56" s="4">
        <v>4459.0</v>
      </c>
      <c r="AP56" s="4">
        <v>1867.0</v>
      </c>
      <c r="AQ56" s="4">
        <v>2576.0</v>
      </c>
      <c r="AR56" s="4">
        <v>16.0</v>
      </c>
      <c r="AS56" s="4">
        <v>694.0</v>
      </c>
      <c r="AT56" s="4">
        <v>2312.0</v>
      </c>
      <c r="AU56" s="4">
        <v>0.0</v>
      </c>
      <c r="AV56" s="4">
        <v>2180.0</v>
      </c>
      <c r="AW56" s="4">
        <v>0.0</v>
      </c>
      <c r="AX56" s="4">
        <v>826.0</v>
      </c>
      <c r="AY56" s="4">
        <v>0.0</v>
      </c>
      <c r="AZ56" s="4">
        <v>0.0</v>
      </c>
      <c r="BA56" s="4">
        <v>0.0</v>
      </c>
      <c r="BB56" s="4">
        <v>0.0</v>
      </c>
      <c r="BC56" s="4">
        <v>0.0</v>
      </c>
      <c r="BD56" s="4">
        <v>0.0</v>
      </c>
      <c r="BE56" s="4">
        <v>0.0</v>
      </c>
      <c r="BF56" s="4">
        <v>0.0</v>
      </c>
      <c r="BG56" s="4">
        <v>0.0</v>
      </c>
      <c r="BH56" s="4">
        <v>0.0</v>
      </c>
      <c r="BI56" s="4">
        <v>0.0</v>
      </c>
      <c r="BJ56" s="4">
        <v>0.0</v>
      </c>
      <c r="BK56" s="4">
        <v>307.0</v>
      </c>
      <c r="BL56" s="4">
        <v>90.0</v>
      </c>
      <c r="BM56" s="4">
        <v>397.0</v>
      </c>
      <c r="BN56" s="4">
        <v>42.0</v>
      </c>
      <c r="BO56" s="4">
        <v>355.0</v>
      </c>
      <c r="BP56" s="4">
        <v>0.0</v>
      </c>
      <c r="BQ56" s="4">
        <v>47.0</v>
      </c>
      <c r="BR56" s="4">
        <v>165.0</v>
      </c>
      <c r="BS56" s="4">
        <v>0.0</v>
      </c>
      <c r="BT56" s="4">
        <v>212.0</v>
      </c>
      <c r="BU56" s="4">
        <v>0.0</v>
      </c>
      <c r="BV56" s="4">
        <v>0.0</v>
      </c>
      <c r="BW56" s="4">
        <v>0.0</v>
      </c>
      <c r="BX56" s="4">
        <v>0.0</v>
      </c>
      <c r="BY56" s="4">
        <v>0.0</v>
      </c>
      <c r="BZ56" s="4">
        <v>0.0</v>
      </c>
      <c r="CA56" s="4">
        <v>0.0</v>
      </c>
      <c r="CB56" s="4">
        <v>0.0</v>
      </c>
      <c r="CC56" s="4">
        <v>0.0</v>
      </c>
      <c r="CD56" s="4">
        <v>0.0</v>
      </c>
      <c r="CE56" s="4">
        <v>0.0</v>
      </c>
      <c r="CF56" s="4">
        <v>0.0</v>
      </c>
      <c r="CG56" s="4">
        <v>0.0</v>
      </c>
      <c r="CH56" s="4">
        <v>0.0</v>
      </c>
      <c r="CI56" s="4">
        <v>0.0</v>
      </c>
      <c r="CJ56" s="4">
        <v>0.0</v>
      </c>
      <c r="CK56" s="4">
        <v>0.0</v>
      </c>
      <c r="CL56" s="4">
        <v>0.0</v>
      </c>
      <c r="CM56" s="4">
        <v>0.0</v>
      </c>
      <c r="CN56" s="4">
        <v>0.0</v>
      </c>
      <c r="CO56" s="4">
        <v>0.0</v>
      </c>
      <c r="CP56" s="4">
        <v>0.0</v>
      </c>
      <c r="CQ56" s="4">
        <v>0.0</v>
      </c>
      <c r="CR56" s="4">
        <v>0.0</v>
      </c>
      <c r="CS56" s="4">
        <v>0.0</v>
      </c>
      <c r="CT56" s="4">
        <v>0.0</v>
      </c>
      <c r="CU56" s="4">
        <f t="shared" si="2"/>
        <v>4856</v>
      </c>
      <c r="CV56" s="4">
        <v>242.0</v>
      </c>
      <c r="CW56" s="4">
        <v>236.0</v>
      </c>
      <c r="CX56" s="4">
        <f t="shared" si="3"/>
        <v>478</v>
      </c>
    </row>
    <row r="57">
      <c r="A57" s="4">
        <v>56.0</v>
      </c>
      <c r="B57" s="4" t="s">
        <v>193</v>
      </c>
      <c r="C57" s="4" t="s">
        <v>194</v>
      </c>
      <c r="D57" s="4" t="s">
        <v>139</v>
      </c>
      <c r="E57" s="4">
        <v>2025.0</v>
      </c>
      <c r="F57" s="4">
        <v>7.95</v>
      </c>
      <c r="G57" s="4">
        <v>138.0</v>
      </c>
      <c r="H57" s="4">
        <v>280.0</v>
      </c>
      <c r="I57" s="4">
        <v>240.0</v>
      </c>
      <c r="J57" s="4">
        <v>240.0</v>
      </c>
      <c r="K57" s="4">
        <v>237.0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174.0</v>
      </c>
      <c r="U57" s="4">
        <v>92.0</v>
      </c>
      <c r="V57" s="4">
        <v>0.0</v>
      </c>
      <c r="W57" s="4">
        <v>0.0</v>
      </c>
      <c r="X57" s="4">
        <v>0.0</v>
      </c>
      <c r="Y57" s="4">
        <v>0.0</v>
      </c>
      <c r="Z57" s="4">
        <v>30.0</v>
      </c>
      <c r="AA57" s="4">
        <v>48.0</v>
      </c>
      <c r="AB57" s="4">
        <v>8.0</v>
      </c>
      <c r="AC57" s="4">
        <v>0.0</v>
      </c>
      <c r="AD57" s="4">
        <v>0.0</v>
      </c>
      <c r="AE57" s="4">
        <v>0.0</v>
      </c>
      <c r="AF57" s="4">
        <v>0.0</v>
      </c>
      <c r="AG57" s="4">
        <v>0.0</v>
      </c>
      <c r="AH57" s="4">
        <v>0.0</v>
      </c>
      <c r="AI57" s="4">
        <v>0.0</v>
      </c>
      <c r="AJ57" s="4">
        <v>0.0</v>
      </c>
      <c r="AK57" s="4">
        <v>0.0</v>
      </c>
      <c r="AL57" s="4">
        <f t="shared" si="1"/>
        <v>1349</v>
      </c>
      <c r="AM57" s="4">
        <v>678.0</v>
      </c>
      <c r="AN57" s="4">
        <v>171.0</v>
      </c>
      <c r="AO57" s="4">
        <v>849.0</v>
      </c>
      <c r="AP57" s="4">
        <v>29.0</v>
      </c>
      <c r="AQ57" s="4">
        <v>820.0</v>
      </c>
      <c r="AR57" s="4">
        <v>0.0</v>
      </c>
      <c r="AS57" s="4">
        <v>145.0</v>
      </c>
      <c r="AT57" s="4">
        <v>446.0</v>
      </c>
      <c r="AU57" s="4">
        <v>4.0</v>
      </c>
      <c r="AV57" s="4">
        <v>355.0</v>
      </c>
      <c r="AW57" s="4">
        <v>0.0</v>
      </c>
      <c r="AX57" s="4">
        <v>232.0</v>
      </c>
      <c r="AY57" s="4">
        <v>0.0</v>
      </c>
      <c r="AZ57" s="4">
        <v>0.0</v>
      </c>
      <c r="BA57" s="4">
        <v>0.0</v>
      </c>
      <c r="BB57" s="4">
        <v>0.0</v>
      </c>
      <c r="BC57" s="4">
        <v>0.0</v>
      </c>
      <c r="BD57" s="4">
        <v>0.0</v>
      </c>
      <c r="BE57" s="4">
        <v>0.0</v>
      </c>
      <c r="BF57" s="4">
        <v>0.0</v>
      </c>
      <c r="BG57" s="4">
        <v>0.0</v>
      </c>
      <c r="BH57" s="4">
        <v>0.0</v>
      </c>
      <c r="BI57" s="4">
        <v>0.0</v>
      </c>
      <c r="BJ57" s="4">
        <v>0.0</v>
      </c>
      <c r="BK57" s="4">
        <v>162.0</v>
      </c>
      <c r="BL57" s="4">
        <v>19.0</v>
      </c>
      <c r="BM57" s="4">
        <v>181.0</v>
      </c>
      <c r="BN57" s="4">
        <v>18.0</v>
      </c>
      <c r="BO57" s="4">
        <v>163.0</v>
      </c>
      <c r="BP57" s="4">
        <v>0.0</v>
      </c>
      <c r="BQ57" s="4">
        <v>0.0</v>
      </c>
      <c r="BR57" s="4">
        <v>82.0</v>
      </c>
      <c r="BS57" s="4">
        <v>0.0</v>
      </c>
      <c r="BT57" s="4">
        <v>32.0</v>
      </c>
      <c r="BU57" s="4">
        <v>0.0</v>
      </c>
      <c r="BV57" s="4">
        <v>50.0</v>
      </c>
      <c r="BW57" s="4">
        <v>0.0</v>
      </c>
      <c r="BX57" s="4">
        <v>0.0</v>
      </c>
      <c r="BY57" s="4">
        <v>0.0</v>
      </c>
      <c r="BZ57" s="4">
        <v>0.0</v>
      </c>
      <c r="CA57" s="4">
        <v>0.0</v>
      </c>
      <c r="CB57" s="4">
        <v>0.0</v>
      </c>
      <c r="CC57" s="4">
        <v>0.0</v>
      </c>
      <c r="CD57" s="4">
        <v>0.0</v>
      </c>
      <c r="CE57" s="4">
        <v>0.0</v>
      </c>
      <c r="CF57" s="4">
        <v>0.0</v>
      </c>
      <c r="CG57" s="4">
        <v>0.0</v>
      </c>
      <c r="CH57" s="4">
        <v>0.0</v>
      </c>
      <c r="CI57" s="4">
        <v>32.0</v>
      </c>
      <c r="CJ57" s="4">
        <v>9.0</v>
      </c>
      <c r="CK57" s="4">
        <v>41.0</v>
      </c>
      <c r="CL57" s="4">
        <v>4.0</v>
      </c>
      <c r="CM57" s="4">
        <v>37.0</v>
      </c>
      <c r="CN57" s="4">
        <v>0.0</v>
      </c>
      <c r="CO57" s="4">
        <v>0.0</v>
      </c>
      <c r="CP57" s="4">
        <v>19.0</v>
      </c>
      <c r="CQ57" s="4">
        <v>0.0</v>
      </c>
      <c r="CR57" s="4">
        <v>4.0</v>
      </c>
      <c r="CS57" s="4">
        <v>0.0</v>
      </c>
      <c r="CT57" s="4">
        <v>15.0</v>
      </c>
      <c r="CU57" s="4">
        <f t="shared" si="2"/>
        <v>1071</v>
      </c>
      <c r="CV57" s="4">
        <v>208.0</v>
      </c>
      <c r="CW57" s="4">
        <v>5.0</v>
      </c>
      <c r="CX57" s="4">
        <f t="shared" si="3"/>
        <v>213</v>
      </c>
    </row>
    <row r="58">
      <c r="A58" s="4">
        <v>57.0</v>
      </c>
      <c r="B58" s="4" t="s">
        <v>195</v>
      </c>
      <c r="C58" s="4" t="s">
        <v>196</v>
      </c>
      <c r="D58" s="4" t="s">
        <v>139</v>
      </c>
      <c r="E58" s="4">
        <v>2025.0</v>
      </c>
      <c r="F58" s="4">
        <v>8.71</v>
      </c>
      <c r="G58" s="4">
        <v>124.0</v>
      </c>
      <c r="H58" s="4">
        <v>244.0</v>
      </c>
      <c r="I58" s="4">
        <v>237.0</v>
      </c>
      <c r="J58" s="4">
        <v>237.0</v>
      </c>
      <c r="K58" s="4">
        <v>237.0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155.0</v>
      </c>
      <c r="U58" s="4">
        <v>103.0</v>
      </c>
      <c r="V58" s="4">
        <v>0.0</v>
      </c>
      <c r="W58" s="4">
        <v>0.0</v>
      </c>
      <c r="X58" s="4">
        <v>0.0</v>
      </c>
      <c r="Y58" s="4">
        <v>0.0</v>
      </c>
      <c r="Z58" s="4">
        <v>0.0</v>
      </c>
      <c r="AA58" s="4">
        <v>0.0</v>
      </c>
      <c r="AB58" s="4">
        <v>0.0</v>
      </c>
      <c r="AC58" s="4">
        <v>0.0</v>
      </c>
      <c r="AD58" s="4">
        <v>0.0</v>
      </c>
      <c r="AE58" s="4">
        <v>0.0</v>
      </c>
      <c r="AF58" s="4">
        <v>0.0</v>
      </c>
      <c r="AG58" s="4">
        <v>0.0</v>
      </c>
      <c r="AH58" s="4">
        <v>0.0</v>
      </c>
      <c r="AI58" s="4">
        <v>0.0</v>
      </c>
      <c r="AJ58" s="4">
        <v>0.0</v>
      </c>
      <c r="AK58" s="4">
        <v>0.0</v>
      </c>
      <c r="AL58" s="4">
        <f t="shared" si="1"/>
        <v>1213</v>
      </c>
      <c r="AM58" s="4">
        <v>721.0</v>
      </c>
      <c r="AN58" s="4">
        <v>185.0</v>
      </c>
      <c r="AO58" s="4">
        <v>906.0</v>
      </c>
      <c r="AP58" s="4">
        <v>350.0</v>
      </c>
      <c r="AQ58" s="4">
        <v>556.0</v>
      </c>
      <c r="AR58" s="4">
        <v>0.0</v>
      </c>
      <c r="AS58" s="4">
        <v>108.0</v>
      </c>
      <c r="AT58" s="4">
        <v>473.0</v>
      </c>
      <c r="AU58" s="4">
        <v>205.0</v>
      </c>
      <c r="AV58" s="4">
        <v>322.0</v>
      </c>
      <c r="AW58" s="4">
        <v>8.0</v>
      </c>
      <c r="AX58" s="4">
        <v>46.0</v>
      </c>
      <c r="AY58" s="4">
        <v>0.0</v>
      </c>
      <c r="AZ58" s="4">
        <v>0.0</v>
      </c>
      <c r="BA58" s="4">
        <v>0.0</v>
      </c>
      <c r="BB58" s="4">
        <v>0.0</v>
      </c>
      <c r="BC58" s="4">
        <v>0.0</v>
      </c>
      <c r="BD58" s="4">
        <v>0.0</v>
      </c>
      <c r="BE58" s="4">
        <v>0.0</v>
      </c>
      <c r="BF58" s="4">
        <v>0.0</v>
      </c>
      <c r="BG58" s="4">
        <v>0.0</v>
      </c>
      <c r="BH58" s="4">
        <v>0.0</v>
      </c>
      <c r="BI58" s="4">
        <v>0.0</v>
      </c>
      <c r="BJ58" s="4">
        <v>0.0</v>
      </c>
      <c r="BK58" s="4">
        <v>145.0</v>
      </c>
      <c r="BL58" s="4">
        <v>35.0</v>
      </c>
      <c r="BM58" s="4">
        <v>180.0</v>
      </c>
      <c r="BN58" s="4">
        <v>57.0</v>
      </c>
      <c r="BO58" s="4">
        <v>122.0</v>
      </c>
      <c r="BP58" s="4">
        <v>1.0</v>
      </c>
      <c r="BQ58" s="4">
        <v>29.0</v>
      </c>
      <c r="BR58" s="4">
        <v>107.0</v>
      </c>
      <c r="BS58" s="4">
        <v>0.0</v>
      </c>
      <c r="BT58" s="4">
        <v>36.0</v>
      </c>
      <c r="BU58" s="4">
        <v>0.0</v>
      </c>
      <c r="BV58" s="4">
        <v>100.0</v>
      </c>
      <c r="BW58" s="4">
        <v>0.0</v>
      </c>
      <c r="BX58" s="4">
        <v>0.0</v>
      </c>
      <c r="BY58" s="4">
        <v>0.0</v>
      </c>
      <c r="BZ58" s="4">
        <v>0.0</v>
      </c>
      <c r="CA58" s="4">
        <v>0.0</v>
      </c>
      <c r="CB58" s="4">
        <v>0.0</v>
      </c>
      <c r="CC58" s="4">
        <v>0.0</v>
      </c>
      <c r="CD58" s="4">
        <v>0.0</v>
      </c>
      <c r="CE58" s="4">
        <v>0.0</v>
      </c>
      <c r="CF58" s="4">
        <v>0.0</v>
      </c>
      <c r="CG58" s="4">
        <v>0.0</v>
      </c>
      <c r="CH58" s="4">
        <v>0.0</v>
      </c>
      <c r="CI58" s="4">
        <v>0.0</v>
      </c>
      <c r="CJ58" s="4">
        <v>0.0</v>
      </c>
      <c r="CK58" s="4">
        <v>0.0</v>
      </c>
      <c r="CL58" s="4">
        <v>0.0</v>
      </c>
      <c r="CM58" s="4">
        <v>0.0</v>
      </c>
      <c r="CN58" s="4">
        <v>0.0</v>
      </c>
      <c r="CO58" s="4">
        <v>0.0</v>
      </c>
      <c r="CP58" s="4">
        <v>0.0</v>
      </c>
      <c r="CQ58" s="4">
        <v>0.0</v>
      </c>
      <c r="CR58" s="4">
        <v>0.0</v>
      </c>
      <c r="CS58" s="4">
        <v>0.0</v>
      </c>
      <c r="CT58" s="4">
        <v>0.0</v>
      </c>
      <c r="CU58" s="4">
        <f t="shared" si="2"/>
        <v>1086</v>
      </c>
      <c r="CV58" s="4">
        <v>148.0</v>
      </c>
      <c r="CW58" s="4">
        <v>27.0</v>
      </c>
      <c r="CX58" s="4">
        <f t="shared" si="3"/>
        <v>175</v>
      </c>
    </row>
    <row r="59">
      <c r="A59" s="4">
        <v>58.0</v>
      </c>
      <c r="B59" s="4" t="s">
        <v>197</v>
      </c>
      <c r="C59" s="4" t="s">
        <v>169</v>
      </c>
      <c r="D59" s="4" t="s">
        <v>118</v>
      </c>
      <c r="E59" s="4">
        <v>2025.0</v>
      </c>
      <c r="F59" s="4">
        <v>14.84</v>
      </c>
      <c r="G59" s="4">
        <v>647.0</v>
      </c>
      <c r="H59" s="4">
        <v>3180.0</v>
      </c>
      <c r="I59" s="4">
        <v>2460.0</v>
      </c>
      <c r="J59" s="4">
        <v>2130.0</v>
      </c>
      <c r="K59" s="4">
        <v>1410.0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60.0</v>
      </c>
      <c r="U59" s="4">
        <v>84.0</v>
      </c>
      <c r="V59" s="4">
        <v>0.0</v>
      </c>
      <c r="W59" s="4">
        <v>0.0</v>
      </c>
      <c r="X59" s="4">
        <v>0.0</v>
      </c>
      <c r="Y59" s="4">
        <v>0.0</v>
      </c>
      <c r="Z59" s="4">
        <v>0.0</v>
      </c>
      <c r="AA59" s="4">
        <v>0.0</v>
      </c>
      <c r="AB59" s="4">
        <v>0.0</v>
      </c>
      <c r="AC59" s="4">
        <v>0.0</v>
      </c>
      <c r="AD59" s="4">
        <v>0.0</v>
      </c>
      <c r="AE59" s="4">
        <v>0.0</v>
      </c>
      <c r="AF59" s="4">
        <v>0.0</v>
      </c>
      <c r="AG59" s="4">
        <v>0.0</v>
      </c>
      <c r="AH59" s="4">
        <v>0.0</v>
      </c>
      <c r="AI59" s="4">
        <v>0.0</v>
      </c>
      <c r="AJ59" s="4">
        <v>0.0</v>
      </c>
      <c r="AK59" s="4">
        <v>0.0</v>
      </c>
      <c r="AL59" s="4">
        <f t="shared" si="1"/>
        <v>9324</v>
      </c>
      <c r="AM59" s="4">
        <v>5257.0</v>
      </c>
      <c r="AN59" s="4">
        <v>3580.0</v>
      </c>
      <c r="AO59" s="4">
        <v>8837.0</v>
      </c>
      <c r="AP59" s="4">
        <v>695.0</v>
      </c>
      <c r="AQ59" s="4">
        <v>7812.0</v>
      </c>
      <c r="AR59" s="4">
        <v>330.0</v>
      </c>
      <c r="AS59" s="4">
        <v>38.0</v>
      </c>
      <c r="AT59" s="4">
        <v>148.0</v>
      </c>
      <c r="AU59" s="4">
        <v>2.0</v>
      </c>
      <c r="AV59" s="4">
        <v>84.0</v>
      </c>
      <c r="AW59" s="4">
        <v>0.0</v>
      </c>
      <c r="AX59" s="4">
        <v>100.0</v>
      </c>
      <c r="AY59" s="4">
        <v>0.0</v>
      </c>
      <c r="AZ59" s="4">
        <v>0.0</v>
      </c>
      <c r="BA59" s="4">
        <v>0.0</v>
      </c>
      <c r="BB59" s="4">
        <v>0.0</v>
      </c>
      <c r="BC59" s="4">
        <v>0.0</v>
      </c>
      <c r="BD59" s="4">
        <v>0.0</v>
      </c>
      <c r="BE59" s="4">
        <v>0.0</v>
      </c>
      <c r="BF59" s="4">
        <v>0.0</v>
      </c>
      <c r="BG59" s="4">
        <v>0.0</v>
      </c>
      <c r="BH59" s="4">
        <v>0.0</v>
      </c>
      <c r="BI59" s="4">
        <v>0.0</v>
      </c>
      <c r="BJ59" s="4">
        <v>0.0</v>
      </c>
      <c r="BK59" s="4">
        <v>21.0</v>
      </c>
      <c r="BL59" s="4">
        <v>9.0</v>
      </c>
      <c r="BM59" s="4">
        <v>30.0</v>
      </c>
      <c r="BN59" s="4">
        <v>9.0</v>
      </c>
      <c r="BO59" s="4">
        <v>21.0</v>
      </c>
      <c r="BP59" s="4">
        <v>0.0</v>
      </c>
      <c r="BQ59" s="4">
        <v>6.0</v>
      </c>
      <c r="BR59" s="4">
        <v>0.0</v>
      </c>
      <c r="BS59" s="4">
        <v>0.0</v>
      </c>
      <c r="BT59" s="4">
        <v>6.0</v>
      </c>
      <c r="BU59" s="4">
        <v>0.0</v>
      </c>
      <c r="BV59" s="4">
        <v>0.0</v>
      </c>
      <c r="BW59" s="4">
        <v>0.0</v>
      </c>
      <c r="BX59" s="4">
        <v>0.0</v>
      </c>
      <c r="BY59" s="4">
        <v>0.0</v>
      </c>
      <c r="BZ59" s="4">
        <v>0.0</v>
      </c>
      <c r="CA59" s="4">
        <v>0.0</v>
      </c>
      <c r="CB59" s="4">
        <v>0.0</v>
      </c>
      <c r="CC59" s="4">
        <v>0.0</v>
      </c>
      <c r="CD59" s="4">
        <v>0.0</v>
      </c>
      <c r="CE59" s="4">
        <v>0.0</v>
      </c>
      <c r="CF59" s="4">
        <v>0.0</v>
      </c>
      <c r="CG59" s="4">
        <v>0.0</v>
      </c>
      <c r="CH59" s="4">
        <v>0.0</v>
      </c>
      <c r="CI59" s="4">
        <v>0.0</v>
      </c>
      <c r="CJ59" s="4">
        <v>0.0</v>
      </c>
      <c r="CK59" s="4">
        <v>0.0</v>
      </c>
      <c r="CL59" s="4">
        <v>0.0</v>
      </c>
      <c r="CM59" s="4">
        <v>0.0</v>
      </c>
      <c r="CN59" s="4">
        <v>0.0</v>
      </c>
      <c r="CO59" s="4">
        <v>0.0</v>
      </c>
      <c r="CP59" s="4">
        <v>0.0</v>
      </c>
      <c r="CQ59" s="4">
        <v>0.0</v>
      </c>
      <c r="CR59" s="4">
        <v>0.0</v>
      </c>
      <c r="CS59" s="4">
        <v>0.0</v>
      </c>
      <c r="CT59" s="4">
        <v>0.0</v>
      </c>
      <c r="CU59" s="4">
        <f t="shared" si="2"/>
        <v>8867</v>
      </c>
      <c r="CV59" s="4">
        <v>237.0</v>
      </c>
      <c r="CW59" s="4">
        <v>158.0</v>
      </c>
      <c r="CX59" s="4">
        <f t="shared" si="3"/>
        <v>395</v>
      </c>
    </row>
    <row r="60">
      <c r="A60" s="4">
        <v>59.0</v>
      </c>
      <c r="B60" s="4" t="s">
        <v>198</v>
      </c>
      <c r="C60" s="4" t="s">
        <v>199</v>
      </c>
      <c r="D60" s="4" t="s">
        <v>118</v>
      </c>
      <c r="E60" s="4">
        <v>2025.0</v>
      </c>
      <c r="F60" s="4">
        <v>15.89</v>
      </c>
      <c r="G60" s="4">
        <v>735.0</v>
      </c>
      <c r="H60" s="4">
        <v>2400.0</v>
      </c>
      <c r="I60" s="4">
        <v>2340.0</v>
      </c>
      <c r="J60" s="4">
        <v>2280.0</v>
      </c>
      <c r="K60" s="4">
        <v>2040.0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775.0</v>
      </c>
      <c r="U60" s="4">
        <v>775.0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  <c r="AG60" s="4">
        <v>0.0</v>
      </c>
      <c r="AH60" s="4">
        <v>0.0</v>
      </c>
      <c r="AI60" s="4">
        <v>0.0</v>
      </c>
      <c r="AJ60" s="4">
        <v>0.0</v>
      </c>
      <c r="AK60" s="4">
        <v>0.0</v>
      </c>
      <c r="AL60" s="4">
        <f t="shared" si="1"/>
        <v>10610</v>
      </c>
      <c r="AM60" s="4">
        <v>6306.0</v>
      </c>
      <c r="AN60" s="4">
        <v>1920.0</v>
      </c>
      <c r="AO60" s="4">
        <v>8226.0</v>
      </c>
      <c r="AP60" s="4">
        <v>1704.0</v>
      </c>
      <c r="AQ60" s="4">
        <v>6366.0</v>
      </c>
      <c r="AR60" s="4">
        <v>156.0</v>
      </c>
      <c r="AS60" s="4">
        <v>436.0</v>
      </c>
      <c r="AT60" s="4">
        <v>37.0</v>
      </c>
      <c r="AU60" s="4">
        <v>33.0</v>
      </c>
      <c r="AV60" s="4">
        <v>375.0</v>
      </c>
      <c r="AW60" s="4">
        <v>4.0</v>
      </c>
      <c r="AX60" s="4">
        <v>61.0</v>
      </c>
      <c r="AY60" s="4">
        <v>0.0</v>
      </c>
      <c r="AZ60" s="4">
        <v>0.0</v>
      </c>
      <c r="BA60" s="4">
        <v>0.0</v>
      </c>
      <c r="BB60" s="4">
        <v>0.0</v>
      </c>
      <c r="BC60" s="4">
        <v>0.0</v>
      </c>
      <c r="BD60" s="4">
        <v>0.0</v>
      </c>
      <c r="BE60" s="4">
        <v>0.0</v>
      </c>
      <c r="BF60" s="4">
        <v>0.0</v>
      </c>
      <c r="BG60" s="4">
        <v>0.0</v>
      </c>
      <c r="BH60" s="4">
        <v>0.0</v>
      </c>
      <c r="BI60" s="4">
        <v>0.0</v>
      </c>
      <c r="BJ60" s="4">
        <v>0.0</v>
      </c>
      <c r="BK60" s="4">
        <v>549.0</v>
      </c>
      <c r="BL60" s="4">
        <v>341.0</v>
      </c>
      <c r="BM60" s="4">
        <v>890.0</v>
      </c>
      <c r="BN60" s="4">
        <v>620.0</v>
      </c>
      <c r="BO60" s="4">
        <v>269.0</v>
      </c>
      <c r="BP60" s="4">
        <v>1.0</v>
      </c>
      <c r="BQ60" s="4">
        <v>31.0</v>
      </c>
      <c r="BR60" s="4">
        <v>41.0</v>
      </c>
      <c r="BS60" s="4">
        <v>29.0</v>
      </c>
      <c r="BT60" s="4">
        <v>34.0</v>
      </c>
      <c r="BU60" s="4">
        <v>0.0</v>
      </c>
      <c r="BV60" s="4">
        <v>9.0</v>
      </c>
      <c r="BW60" s="4">
        <v>0.0</v>
      </c>
      <c r="BX60" s="4">
        <v>0.0</v>
      </c>
      <c r="BY60" s="4">
        <v>0.0</v>
      </c>
      <c r="BZ60" s="4">
        <v>0.0</v>
      </c>
      <c r="CA60" s="4">
        <v>0.0</v>
      </c>
      <c r="CB60" s="4">
        <v>0.0</v>
      </c>
      <c r="CC60" s="4">
        <v>0.0</v>
      </c>
      <c r="CD60" s="4">
        <v>0.0</v>
      </c>
      <c r="CE60" s="4">
        <v>0.0</v>
      </c>
      <c r="CF60" s="4">
        <v>0.0</v>
      </c>
      <c r="CG60" s="4">
        <v>0.0</v>
      </c>
      <c r="CH60" s="4">
        <v>0.0</v>
      </c>
      <c r="CI60" s="4">
        <v>0.0</v>
      </c>
      <c r="CJ60" s="4">
        <v>0.0</v>
      </c>
      <c r="CK60" s="4">
        <v>0.0</v>
      </c>
      <c r="CL60" s="4">
        <v>0.0</v>
      </c>
      <c r="CM60" s="4">
        <v>0.0</v>
      </c>
      <c r="CN60" s="4">
        <v>0.0</v>
      </c>
      <c r="CO60" s="4">
        <v>0.0</v>
      </c>
      <c r="CP60" s="4">
        <v>0.0</v>
      </c>
      <c r="CQ60" s="4">
        <v>0.0</v>
      </c>
      <c r="CR60" s="4">
        <v>0.0</v>
      </c>
      <c r="CS60" s="4">
        <v>0.0</v>
      </c>
      <c r="CT60" s="4">
        <v>0.0</v>
      </c>
      <c r="CU60" s="4">
        <f t="shared" si="2"/>
        <v>9116</v>
      </c>
      <c r="CV60" s="4">
        <v>370.0</v>
      </c>
      <c r="CW60" s="4">
        <v>102.0</v>
      </c>
      <c r="CX60" s="4">
        <f t="shared" si="3"/>
        <v>472</v>
      </c>
    </row>
    <row r="61">
      <c r="A61" s="4">
        <v>60.0</v>
      </c>
      <c r="B61" s="4" t="s">
        <v>200</v>
      </c>
      <c r="C61" s="4" t="s">
        <v>201</v>
      </c>
      <c r="D61" s="4" t="s">
        <v>2</v>
      </c>
      <c r="E61" s="4">
        <v>2025.0</v>
      </c>
      <c r="F61" s="4">
        <v>13.5</v>
      </c>
      <c r="G61" s="4">
        <v>243.0</v>
      </c>
      <c r="H61" s="4">
        <v>780.0</v>
      </c>
      <c r="I61" s="4">
        <v>780.0</v>
      </c>
      <c r="J61" s="4">
        <v>780.0</v>
      </c>
      <c r="K61" s="4">
        <v>720.0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108.0</v>
      </c>
      <c r="U61" s="4">
        <v>108.0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  <c r="AG61" s="4">
        <v>0.0</v>
      </c>
      <c r="AH61" s="4">
        <v>0.0</v>
      </c>
      <c r="AI61" s="4">
        <v>0.0</v>
      </c>
      <c r="AJ61" s="4">
        <v>0.0</v>
      </c>
      <c r="AK61" s="4">
        <v>0.0</v>
      </c>
      <c r="AL61" s="4">
        <f t="shared" si="1"/>
        <v>3276</v>
      </c>
      <c r="AM61" s="4">
        <v>1608.0</v>
      </c>
      <c r="AN61" s="4">
        <v>1452.0</v>
      </c>
      <c r="AO61" s="4">
        <v>3060.0</v>
      </c>
      <c r="AP61" s="4">
        <v>1646.0</v>
      </c>
      <c r="AQ61" s="4">
        <v>1406.0</v>
      </c>
      <c r="AR61" s="4">
        <v>8.0</v>
      </c>
      <c r="AS61" s="4">
        <v>674.0</v>
      </c>
      <c r="AT61" s="4">
        <v>1560.0</v>
      </c>
      <c r="AU61" s="4">
        <v>536.0</v>
      </c>
      <c r="AV61" s="4">
        <v>1672.0</v>
      </c>
      <c r="AW61" s="4">
        <v>26.0</v>
      </c>
      <c r="AX61" s="4">
        <v>0.0</v>
      </c>
      <c r="AY61" s="4">
        <v>0.0</v>
      </c>
      <c r="AZ61" s="4">
        <v>0.0</v>
      </c>
      <c r="BA61" s="4">
        <v>0.0</v>
      </c>
      <c r="BB61" s="4">
        <v>0.0</v>
      </c>
      <c r="BC61" s="4">
        <v>0.0</v>
      </c>
      <c r="BD61" s="4">
        <v>0.0</v>
      </c>
      <c r="BE61" s="4">
        <v>0.0</v>
      </c>
      <c r="BF61" s="4">
        <v>0.0</v>
      </c>
      <c r="BG61" s="4">
        <v>0.0</v>
      </c>
      <c r="BH61" s="4">
        <v>0.0</v>
      </c>
      <c r="BI61" s="4">
        <v>0.0</v>
      </c>
      <c r="BJ61" s="4">
        <v>0.0</v>
      </c>
      <c r="BK61" s="4">
        <v>111.0</v>
      </c>
      <c r="BL61" s="4">
        <v>105.0</v>
      </c>
      <c r="BM61" s="4">
        <v>216.0</v>
      </c>
      <c r="BN61" s="4">
        <v>127.0</v>
      </c>
      <c r="BO61" s="4">
        <v>89.0</v>
      </c>
      <c r="BP61" s="4">
        <v>0.0</v>
      </c>
      <c r="BQ61" s="4">
        <v>48.0</v>
      </c>
      <c r="BR61" s="4">
        <v>110.0</v>
      </c>
      <c r="BS61" s="4">
        <v>39.0</v>
      </c>
      <c r="BT61" s="4">
        <v>119.0</v>
      </c>
      <c r="BU61" s="4">
        <v>0.0</v>
      </c>
      <c r="BV61" s="4">
        <v>0.0</v>
      </c>
      <c r="BW61" s="4">
        <v>0.0</v>
      </c>
      <c r="BX61" s="4">
        <v>0.0</v>
      </c>
      <c r="BY61" s="4">
        <v>0.0</v>
      </c>
      <c r="BZ61" s="4">
        <v>0.0</v>
      </c>
      <c r="CA61" s="4">
        <v>0.0</v>
      </c>
      <c r="CB61" s="4">
        <v>0.0</v>
      </c>
      <c r="CC61" s="4">
        <v>0.0</v>
      </c>
      <c r="CD61" s="4">
        <v>0.0</v>
      </c>
      <c r="CE61" s="4">
        <v>0.0</v>
      </c>
      <c r="CF61" s="4">
        <v>0.0</v>
      </c>
      <c r="CG61" s="4">
        <v>0.0</v>
      </c>
      <c r="CH61" s="4">
        <v>0.0</v>
      </c>
      <c r="CI61" s="4">
        <v>0.0</v>
      </c>
      <c r="CJ61" s="4">
        <v>0.0</v>
      </c>
      <c r="CK61" s="4">
        <v>0.0</v>
      </c>
      <c r="CL61" s="4">
        <v>0.0</v>
      </c>
      <c r="CM61" s="4">
        <v>0.0</v>
      </c>
      <c r="CN61" s="4">
        <v>0.0</v>
      </c>
      <c r="CO61" s="4">
        <v>0.0</v>
      </c>
      <c r="CP61" s="4">
        <v>0.0</v>
      </c>
      <c r="CQ61" s="4">
        <v>0.0</v>
      </c>
      <c r="CR61" s="4">
        <v>0.0</v>
      </c>
      <c r="CS61" s="4">
        <v>0.0</v>
      </c>
      <c r="CT61" s="4">
        <v>0.0</v>
      </c>
      <c r="CU61" s="4">
        <f t="shared" si="2"/>
        <v>3276</v>
      </c>
      <c r="CV61" s="4">
        <v>316.0</v>
      </c>
      <c r="CW61" s="4">
        <v>0.0</v>
      </c>
      <c r="CX61" s="4">
        <f t="shared" si="3"/>
        <v>316</v>
      </c>
    </row>
    <row r="62">
      <c r="A62" s="4">
        <v>61.0</v>
      </c>
      <c r="B62" s="4" t="s">
        <v>202</v>
      </c>
      <c r="C62" s="4" t="s">
        <v>203</v>
      </c>
      <c r="D62" s="4" t="s">
        <v>139</v>
      </c>
      <c r="E62" s="4">
        <v>2025.0</v>
      </c>
      <c r="F62" s="4">
        <v>8.65</v>
      </c>
      <c r="G62" s="4">
        <v>103.0</v>
      </c>
      <c r="H62" s="4">
        <v>144.0</v>
      </c>
      <c r="I62" s="4">
        <v>144.0</v>
      </c>
      <c r="J62" s="4">
        <v>134.0</v>
      </c>
      <c r="K62" s="4">
        <v>132.0</v>
      </c>
      <c r="L62" s="4">
        <v>0.0</v>
      </c>
      <c r="M62" s="4">
        <v>0.0</v>
      </c>
      <c r="N62" s="4">
        <v>24.0</v>
      </c>
      <c r="O62" s="4">
        <v>24.0</v>
      </c>
      <c r="P62" s="4">
        <v>22.0</v>
      </c>
      <c r="Q62" s="4">
        <v>22.0</v>
      </c>
      <c r="R62" s="4">
        <v>22.0</v>
      </c>
      <c r="S62" s="4">
        <v>0.0</v>
      </c>
      <c r="T62" s="4">
        <v>255.0</v>
      </c>
      <c r="U62" s="4">
        <v>255.0</v>
      </c>
      <c r="V62" s="4">
        <v>0.0</v>
      </c>
      <c r="W62" s="4">
        <v>0.0</v>
      </c>
      <c r="X62" s="4">
        <v>0.0</v>
      </c>
      <c r="Y62" s="4">
        <v>0.0</v>
      </c>
      <c r="Z62" s="4">
        <v>0.0</v>
      </c>
      <c r="AA62" s="4">
        <v>0.0</v>
      </c>
      <c r="AB62" s="4">
        <v>0.0</v>
      </c>
      <c r="AC62" s="4">
        <v>0.0</v>
      </c>
      <c r="AD62" s="4">
        <v>0.0</v>
      </c>
      <c r="AE62" s="4">
        <v>0.0</v>
      </c>
      <c r="AF62" s="4">
        <v>0.0</v>
      </c>
      <c r="AG62" s="4">
        <v>0.0</v>
      </c>
      <c r="AH62" s="4">
        <v>0.0</v>
      </c>
      <c r="AI62" s="4">
        <v>0.0</v>
      </c>
      <c r="AJ62" s="4">
        <v>0.0</v>
      </c>
      <c r="AK62" s="4">
        <v>0.0</v>
      </c>
      <c r="AL62" s="4">
        <f t="shared" si="1"/>
        <v>1178</v>
      </c>
      <c r="AM62" s="4">
        <v>464.0</v>
      </c>
      <c r="AN62" s="4">
        <v>60.0</v>
      </c>
      <c r="AO62" s="4">
        <v>524.0</v>
      </c>
      <c r="AP62" s="4">
        <v>35.0</v>
      </c>
      <c r="AQ62" s="4">
        <v>489.0</v>
      </c>
      <c r="AR62" s="4">
        <v>0.0</v>
      </c>
      <c r="AS62" s="4">
        <v>84.0</v>
      </c>
      <c r="AT62" s="4">
        <v>250.0</v>
      </c>
      <c r="AU62" s="4">
        <v>103.0</v>
      </c>
      <c r="AV62" s="4">
        <v>155.0</v>
      </c>
      <c r="AW62" s="4">
        <v>0.0</v>
      </c>
      <c r="AX62" s="4">
        <v>76.0</v>
      </c>
      <c r="AY62" s="4">
        <v>89.0</v>
      </c>
      <c r="AZ62" s="4">
        <v>10.0</v>
      </c>
      <c r="BA62" s="4">
        <v>99.0</v>
      </c>
      <c r="BB62" s="4">
        <v>9.0</v>
      </c>
      <c r="BC62" s="4">
        <v>90.0</v>
      </c>
      <c r="BD62" s="4">
        <v>0.0</v>
      </c>
      <c r="BE62" s="4">
        <v>13.0</v>
      </c>
      <c r="BF62" s="4">
        <v>53.0</v>
      </c>
      <c r="BG62" s="4">
        <v>24.0</v>
      </c>
      <c r="BH62" s="4">
        <v>26.0</v>
      </c>
      <c r="BI62" s="4">
        <v>0.0</v>
      </c>
      <c r="BJ62" s="4">
        <v>16.0</v>
      </c>
      <c r="BK62" s="4">
        <v>194.0</v>
      </c>
      <c r="BL62" s="4">
        <v>70.0</v>
      </c>
      <c r="BM62" s="4">
        <v>264.0</v>
      </c>
      <c r="BN62" s="4">
        <v>42.0</v>
      </c>
      <c r="BO62" s="4">
        <v>222.0</v>
      </c>
      <c r="BP62" s="4">
        <v>0.0</v>
      </c>
      <c r="BQ62" s="4">
        <v>12.0</v>
      </c>
      <c r="BR62" s="4">
        <v>117.0</v>
      </c>
      <c r="BS62" s="4">
        <v>120.0</v>
      </c>
      <c r="BT62" s="4">
        <v>9.0</v>
      </c>
      <c r="BU62" s="4">
        <v>0.0</v>
      </c>
      <c r="BV62" s="4">
        <v>0.0</v>
      </c>
      <c r="BW62" s="4">
        <v>0.0</v>
      </c>
      <c r="BX62" s="4">
        <v>0.0</v>
      </c>
      <c r="BY62" s="4">
        <v>0.0</v>
      </c>
      <c r="BZ62" s="4">
        <v>0.0</v>
      </c>
      <c r="CA62" s="4">
        <v>0.0</v>
      </c>
      <c r="CB62" s="4">
        <v>0.0</v>
      </c>
      <c r="CC62" s="4">
        <v>0.0</v>
      </c>
      <c r="CD62" s="4">
        <v>0.0</v>
      </c>
      <c r="CE62" s="4">
        <v>0.0</v>
      </c>
      <c r="CF62" s="4">
        <v>0.0</v>
      </c>
      <c r="CG62" s="4">
        <v>0.0</v>
      </c>
      <c r="CH62" s="4">
        <v>0.0</v>
      </c>
      <c r="CI62" s="4">
        <v>0.0</v>
      </c>
      <c r="CJ62" s="4">
        <v>0.0</v>
      </c>
      <c r="CK62" s="4">
        <v>0.0</v>
      </c>
      <c r="CL62" s="4">
        <v>0.0</v>
      </c>
      <c r="CM62" s="4">
        <v>0.0</v>
      </c>
      <c r="CN62" s="4">
        <v>0.0</v>
      </c>
      <c r="CO62" s="4">
        <v>0.0</v>
      </c>
      <c r="CP62" s="4">
        <v>0.0</v>
      </c>
      <c r="CQ62" s="4">
        <v>0.0</v>
      </c>
      <c r="CR62" s="4">
        <v>0.0</v>
      </c>
      <c r="CS62" s="4">
        <v>0.0</v>
      </c>
      <c r="CT62" s="4">
        <v>0.0</v>
      </c>
      <c r="CU62" s="4">
        <f t="shared" si="2"/>
        <v>887</v>
      </c>
      <c r="CV62" s="4">
        <v>256.0</v>
      </c>
      <c r="CW62" s="4">
        <v>109.0</v>
      </c>
      <c r="CX62" s="4">
        <f t="shared" si="3"/>
        <v>365</v>
      </c>
    </row>
    <row r="63">
      <c r="A63" s="4">
        <v>62.0</v>
      </c>
      <c r="B63" s="12" t="s">
        <v>204</v>
      </c>
      <c r="C63" s="4" t="s">
        <v>205</v>
      </c>
      <c r="D63" s="4" t="s">
        <v>139</v>
      </c>
      <c r="E63" s="4">
        <v>2025.0</v>
      </c>
      <c r="F63" s="4">
        <v>15.79</v>
      </c>
      <c r="G63" s="4">
        <v>262.0</v>
      </c>
      <c r="H63" s="4">
        <v>1104.0</v>
      </c>
      <c r="I63" s="4">
        <v>1074.0</v>
      </c>
      <c r="J63" s="4">
        <v>1074.0</v>
      </c>
      <c r="K63" s="4">
        <v>1074.0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  <c r="T63" s="4">
        <v>595.0</v>
      </c>
      <c r="U63" s="4">
        <v>595.0</v>
      </c>
      <c r="V63" s="4">
        <v>0.0</v>
      </c>
      <c r="W63" s="4">
        <v>0.0</v>
      </c>
      <c r="X63" s="4">
        <v>0.0</v>
      </c>
      <c r="Y63" s="4">
        <v>0.0</v>
      </c>
      <c r="Z63" s="4">
        <v>0.0</v>
      </c>
      <c r="AA63" s="4">
        <v>0.0</v>
      </c>
      <c r="AB63" s="4">
        <v>0.0</v>
      </c>
      <c r="AC63" s="4">
        <v>0.0</v>
      </c>
      <c r="AD63" s="4">
        <v>0.0</v>
      </c>
      <c r="AE63" s="4">
        <v>0.0</v>
      </c>
      <c r="AF63" s="4">
        <v>0.0</v>
      </c>
      <c r="AG63" s="4">
        <v>0.0</v>
      </c>
      <c r="AH63" s="4">
        <v>0.0</v>
      </c>
      <c r="AI63" s="4">
        <v>0.0</v>
      </c>
      <c r="AJ63" s="4">
        <v>0.0</v>
      </c>
      <c r="AK63" s="4">
        <v>0.0</v>
      </c>
      <c r="AL63" s="4">
        <f t="shared" si="1"/>
        <v>5516</v>
      </c>
      <c r="AM63" s="4">
        <v>3678.0</v>
      </c>
      <c r="AN63" s="4">
        <v>900.0</v>
      </c>
      <c r="AO63" s="4">
        <v>4578.0</v>
      </c>
      <c r="AP63" s="4">
        <v>2166.0</v>
      </c>
      <c r="AQ63" s="4">
        <v>2261.0</v>
      </c>
      <c r="AR63" s="4">
        <v>151.0</v>
      </c>
      <c r="AS63" s="4">
        <v>1327.0</v>
      </c>
      <c r="AT63" s="4">
        <v>2078.0</v>
      </c>
      <c r="AU63" s="4">
        <v>1021.0</v>
      </c>
      <c r="AV63" s="4">
        <v>2262.0</v>
      </c>
      <c r="AW63" s="4">
        <v>78.0</v>
      </c>
      <c r="AX63" s="4">
        <v>44.0</v>
      </c>
      <c r="AY63" s="4">
        <v>0.0</v>
      </c>
      <c r="AZ63" s="4">
        <v>0.0</v>
      </c>
      <c r="BA63" s="4">
        <v>0.0</v>
      </c>
      <c r="BB63" s="4">
        <v>0.0</v>
      </c>
      <c r="BC63" s="4">
        <v>0.0</v>
      </c>
      <c r="BD63" s="4">
        <v>0.0</v>
      </c>
      <c r="BE63" s="4">
        <v>0.0</v>
      </c>
      <c r="BF63" s="4">
        <v>0.0</v>
      </c>
      <c r="BG63" s="4">
        <v>0.0</v>
      </c>
      <c r="BH63" s="4">
        <v>0.0</v>
      </c>
      <c r="BI63" s="4">
        <v>0.0</v>
      </c>
      <c r="BJ63" s="4">
        <v>0.0</v>
      </c>
      <c r="BK63" s="4">
        <v>535.0</v>
      </c>
      <c r="BL63" s="4">
        <v>114.0</v>
      </c>
      <c r="BM63" s="4">
        <v>649.0</v>
      </c>
      <c r="BN63" s="4">
        <v>357.0</v>
      </c>
      <c r="BO63" s="4">
        <v>292.0</v>
      </c>
      <c r="BP63" s="4">
        <v>0.0</v>
      </c>
      <c r="BQ63" s="4">
        <v>61.0</v>
      </c>
      <c r="BR63" s="4">
        <v>197.0</v>
      </c>
      <c r="BS63" s="4">
        <v>258.0</v>
      </c>
      <c r="BT63" s="4">
        <v>0.0</v>
      </c>
      <c r="BU63" s="4">
        <v>0.0</v>
      </c>
      <c r="BV63" s="4">
        <v>0.0</v>
      </c>
      <c r="BW63" s="4">
        <v>0.0</v>
      </c>
      <c r="BX63" s="4">
        <v>0.0</v>
      </c>
      <c r="BY63" s="4">
        <v>0.0</v>
      </c>
      <c r="BZ63" s="4">
        <v>0.0</v>
      </c>
      <c r="CA63" s="4">
        <v>0.0</v>
      </c>
      <c r="CB63" s="4">
        <v>0.0</v>
      </c>
      <c r="CC63" s="4">
        <v>0.0</v>
      </c>
      <c r="CD63" s="4">
        <v>0.0</v>
      </c>
      <c r="CE63" s="4">
        <v>0.0</v>
      </c>
      <c r="CF63" s="4">
        <v>0.0</v>
      </c>
      <c r="CG63" s="4">
        <v>0.0</v>
      </c>
      <c r="CH63" s="4">
        <v>0.0</v>
      </c>
      <c r="CI63" s="4">
        <v>0.0</v>
      </c>
      <c r="CJ63" s="4">
        <v>0.0</v>
      </c>
      <c r="CK63" s="4">
        <v>0.0</v>
      </c>
      <c r="CL63" s="4">
        <v>0.0</v>
      </c>
      <c r="CM63" s="4">
        <v>0.0</v>
      </c>
      <c r="CN63" s="4">
        <v>0.0</v>
      </c>
      <c r="CO63" s="4">
        <v>0.0</v>
      </c>
      <c r="CP63" s="4">
        <v>0.0</v>
      </c>
      <c r="CQ63" s="4">
        <v>0.0</v>
      </c>
      <c r="CR63" s="4">
        <v>0.0</v>
      </c>
      <c r="CS63" s="4">
        <v>0.0</v>
      </c>
      <c r="CT63" s="4">
        <v>0.0</v>
      </c>
      <c r="CU63" s="4">
        <f t="shared" si="2"/>
        <v>5227</v>
      </c>
      <c r="CV63" s="4">
        <v>437.0</v>
      </c>
      <c r="CW63" s="4">
        <v>168.0</v>
      </c>
      <c r="CX63" s="4">
        <f t="shared" si="3"/>
        <v>605</v>
      </c>
    </row>
    <row r="64">
      <c r="A64" s="4">
        <v>63.0</v>
      </c>
      <c r="B64" s="12" t="s">
        <v>206</v>
      </c>
      <c r="C64" s="4" t="s">
        <v>105</v>
      </c>
      <c r="D64" s="4" t="s">
        <v>139</v>
      </c>
      <c r="E64" s="4">
        <v>2025.0</v>
      </c>
      <c r="F64" s="4">
        <v>12.0</v>
      </c>
      <c r="G64" s="4">
        <v>184.0</v>
      </c>
      <c r="H64" s="4">
        <v>480.0</v>
      </c>
      <c r="I64" s="4">
        <v>480.0</v>
      </c>
      <c r="J64" s="4">
        <v>480.0</v>
      </c>
      <c r="K64" s="4">
        <v>480.0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240.0</v>
      </c>
      <c r="U64" s="4">
        <v>240.0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4">
        <v>0.0</v>
      </c>
      <c r="AE64" s="4">
        <v>0.0</v>
      </c>
      <c r="AF64" s="4">
        <v>0.0</v>
      </c>
      <c r="AG64" s="4">
        <v>0.0</v>
      </c>
      <c r="AH64" s="4">
        <v>0.0</v>
      </c>
      <c r="AI64" s="4">
        <v>0.0</v>
      </c>
      <c r="AJ64" s="4">
        <v>0.0</v>
      </c>
      <c r="AK64" s="4">
        <v>0.0</v>
      </c>
      <c r="AL64" s="4">
        <f t="shared" si="1"/>
        <v>2400</v>
      </c>
      <c r="AM64" s="4">
        <v>1972.0</v>
      </c>
      <c r="AN64" s="4">
        <v>254.0</v>
      </c>
      <c r="AO64" s="4">
        <v>2226.0</v>
      </c>
      <c r="AP64" s="4">
        <v>1248.0</v>
      </c>
      <c r="AQ64" s="4">
        <v>794.0</v>
      </c>
      <c r="AR64" s="4">
        <v>184.0</v>
      </c>
      <c r="AS64" s="4">
        <v>199.0</v>
      </c>
      <c r="AT64" s="4">
        <v>930.0</v>
      </c>
      <c r="AU64" s="4">
        <v>162.0</v>
      </c>
      <c r="AV64" s="4">
        <v>38.0</v>
      </c>
      <c r="AW64" s="4">
        <v>19.0</v>
      </c>
      <c r="AX64" s="4">
        <v>910.0</v>
      </c>
      <c r="AY64" s="4">
        <v>0.0</v>
      </c>
      <c r="AZ64" s="4">
        <v>0.0</v>
      </c>
      <c r="BA64" s="4">
        <v>0.0</v>
      </c>
      <c r="BB64" s="4">
        <v>0.0</v>
      </c>
      <c r="BC64" s="4">
        <v>0.0</v>
      </c>
      <c r="BD64" s="4">
        <v>0.0</v>
      </c>
      <c r="BE64" s="4">
        <v>0.0</v>
      </c>
      <c r="BF64" s="4">
        <v>0.0</v>
      </c>
      <c r="BG64" s="4">
        <v>0.0</v>
      </c>
      <c r="BH64" s="4">
        <v>0.0</v>
      </c>
      <c r="BI64" s="4">
        <v>0.0</v>
      </c>
      <c r="BJ64" s="4">
        <v>0.0</v>
      </c>
      <c r="BK64" s="4">
        <v>352.0</v>
      </c>
      <c r="BL64" s="4">
        <v>113.0</v>
      </c>
      <c r="BM64" s="4">
        <v>465.0</v>
      </c>
      <c r="BN64" s="4">
        <v>86.0</v>
      </c>
      <c r="BO64" s="4">
        <v>378.0</v>
      </c>
      <c r="BP64" s="4">
        <v>1.0</v>
      </c>
      <c r="BQ64" s="4">
        <v>21.0</v>
      </c>
      <c r="BR64" s="4">
        <v>167.0</v>
      </c>
      <c r="BS64" s="4">
        <v>5.0</v>
      </c>
      <c r="BT64" s="4">
        <v>0.0</v>
      </c>
      <c r="BU64" s="4">
        <v>2.0</v>
      </c>
      <c r="BV64" s="4">
        <v>181.0</v>
      </c>
      <c r="BW64" s="4">
        <v>0.0</v>
      </c>
      <c r="BX64" s="4">
        <v>0.0</v>
      </c>
      <c r="BY64" s="4">
        <v>0.0</v>
      </c>
      <c r="BZ64" s="4">
        <v>0.0</v>
      </c>
      <c r="CA64" s="4">
        <v>0.0</v>
      </c>
      <c r="CB64" s="4">
        <v>0.0</v>
      </c>
      <c r="CC64" s="4">
        <v>0.0</v>
      </c>
      <c r="CD64" s="4">
        <v>0.0</v>
      </c>
      <c r="CE64" s="4">
        <v>0.0</v>
      </c>
      <c r="CF64" s="4">
        <v>0.0</v>
      </c>
      <c r="CG64" s="4">
        <v>0.0</v>
      </c>
      <c r="CH64" s="4">
        <v>0.0</v>
      </c>
      <c r="CI64" s="4">
        <v>0.0</v>
      </c>
      <c r="CJ64" s="4">
        <v>0.0</v>
      </c>
      <c r="CK64" s="4">
        <v>0.0</v>
      </c>
      <c r="CL64" s="4">
        <v>0.0</v>
      </c>
      <c r="CM64" s="4">
        <v>0.0</v>
      </c>
      <c r="CN64" s="4">
        <v>0.0</v>
      </c>
      <c r="CO64" s="4">
        <v>0.0</v>
      </c>
      <c r="CP64" s="4">
        <v>0.0</v>
      </c>
      <c r="CQ64" s="4">
        <v>0.0</v>
      </c>
      <c r="CR64" s="4">
        <v>0.0</v>
      </c>
      <c r="CS64" s="4">
        <v>0.0</v>
      </c>
      <c r="CT64" s="4">
        <v>0.0</v>
      </c>
      <c r="CU64" s="4">
        <f t="shared" si="2"/>
        <v>2691</v>
      </c>
      <c r="CV64" s="4">
        <v>342.0</v>
      </c>
      <c r="CW64" s="4">
        <v>0.0</v>
      </c>
      <c r="CX64" s="4">
        <f t="shared" si="3"/>
        <v>342</v>
      </c>
    </row>
    <row r="65">
      <c r="A65" s="4">
        <v>64.0</v>
      </c>
      <c r="B65" s="13" t="s">
        <v>207</v>
      </c>
      <c r="C65" s="4" t="s">
        <v>208</v>
      </c>
      <c r="D65" s="4" t="s">
        <v>139</v>
      </c>
      <c r="E65" s="4">
        <v>2025.0</v>
      </c>
      <c r="F65" s="4">
        <v>7.23</v>
      </c>
      <c r="G65" s="4">
        <v>130.0</v>
      </c>
      <c r="H65" s="4">
        <v>200.0</v>
      </c>
      <c r="I65" s="4">
        <v>180.0</v>
      </c>
      <c r="J65" s="4">
        <v>169.0</v>
      </c>
      <c r="K65" s="4">
        <v>188.0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137.0</v>
      </c>
      <c r="U65" s="4">
        <v>120.0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  <c r="AG65" s="4">
        <v>0.0</v>
      </c>
      <c r="AH65" s="4">
        <v>0.0</v>
      </c>
      <c r="AI65" s="4">
        <v>0.0</v>
      </c>
      <c r="AJ65" s="4">
        <v>0.0</v>
      </c>
      <c r="AK65" s="4">
        <v>0.0</v>
      </c>
      <c r="AL65" s="4">
        <f t="shared" si="1"/>
        <v>994</v>
      </c>
      <c r="AM65" s="4">
        <v>516.0</v>
      </c>
      <c r="AN65" s="4">
        <v>150.0</v>
      </c>
      <c r="AO65" s="4">
        <v>666.0</v>
      </c>
      <c r="AP65" s="4">
        <v>81.0</v>
      </c>
      <c r="AQ65" s="4">
        <v>585.0</v>
      </c>
      <c r="AR65" s="4">
        <v>0.0</v>
      </c>
      <c r="AS65" s="4">
        <v>85.0</v>
      </c>
      <c r="AT65" s="4">
        <v>358.0</v>
      </c>
      <c r="AU65" s="4">
        <v>171.0</v>
      </c>
      <c r="AV65" s="4">
        <v>169.0</v>
      </c>
      <c r="AW65" s="4">
        <v>0.0</v>
      </c>
      <c r="AX65" s="4">
        <v>103.0</v>
      </c>
      <c r="AY65" s="4">
        <v>0.0</v>
      </c>
      <c r="AZ65" s="4">
        <v>0.0</v>
      </c>
      <c r="BA65" s="4">
        <v>0.0</v>
      </c>
      <c r="BB65" s="4">
        <v>0.0</v>
      </c>
      <c r="BC65" s="4">
        <v>0.0</v>
      </c>
      <c r="BD65" s="4">
        <v>0.0</v>
      </c>
      <c r="BE65" s="4">
        <v>0.0</v>
      </c>
      <c r="BF65" s="4">
        <v>0.0</v>
      </c>
      <c r="BG65" s="4">
        <v>0.0</v>
      </c>
      <c r="BH65" s="4">
        <v>0.0</v>
      </c>
      <c r="BI65" s="4">
        <v>0.0</v>
      </c>
      <c r="BJ65" s="4">
        <v>0.0</v>
      </c>
      <c r="BK65" s="4">
        <v>147.0</v>
      </c>
      <c r="BL65" s="4">
        <v>53.0</v>
      </c>
      <c r="BM65" s="4">
        <v>200.0</v>
      </c>
      <c r="BN65" s="4">
        <v>45.0</v>
      </c>
      <c r="BO65" s="4">
        <v>151.0</v>
      </c>
      <c r="BP65" s="4">
        <v>4.0</v>
      </c>
      <c r="BQ65" s="4">
        <v>16.0</v>
      </c>
      <c r="BR65" s="4">
        <v>97.0</v>
      </c>
      <c r="BS65" s="4">
        <v>38.0</v>
      </c>
      <c r="BT65" s="4">
        <v>0.0</v>
      </c>
      <c r="BU65" s="4">
        <v>0.0</v>
      </c>
      <c r="BV65" s="4">
        <v>75.0</v>
      </c>
      <c r="BW65" s="4">
        <v>0.0</v>
      </c>
      <c r="BX65" s="4">
        <v>0.0</v>
      </c>
      <c r="BY65" s="4">
        <v>0.0</v>
      </c>
      <c r="BZ65" s="4">
        <v>0.0</v>
      </c>
      <c r="CA65" s="4">
        <v>0.0</v>
      </c>
      <c r="CB65" s="4">
        <v>0.0</v>
      </c>
      <c r="CC65" s="4">
        <v>0.0</v>
      </c>
      <c r="CD65" s="4">
        <v>0.0</v>
      </c>
      <c r="CE65" s="4">
        <v>0.0</v>
      </c>
      <c r="CF65" s="4">
        <v>0.0</v>
      </c>
      <c r="CG65" s="4">
        <v>0.0</v>
      </c>
      <c r="CH65" s="4">
        <v>0.0</v>
      </c>
      <c r="CI65" s="4">
        <v>0.0</v>
      </c>
      <c r="CJ65" s="4">
        <v>0.0</v>
      </c>
      <c r="CK65" s="4">
        <v>0.0</v>
      </c>
      <c r="CL65" s="4">
        <v>0.0</v>
      </c>
      <c r="CM65" s="4">
        <v>0.0</v>
      </c>
      <c r="CN65" s="4">
        <v>0.0</v>
      </c>
      <c r="CO65" s="4">
        <v>0.0</v>
      </c>
      <c r="CP65" s="4">
        <v>0.0</v>
      </c>
      <c r="CQ65" s="4">
        <v>0.0</v>
      </c>
      <c r="CR65" s="4">
        <v>0.0</v>
      </c>
      <c r="CS65" s="4">
        <v>0.0</v>
      </c>
      <c r="CT65" s="4">
        <v>0.0</v>
      </c>
      <c r="CU65" s="4">
        <f t="shared" si="2"/>
        <v>866</v>
      </c>
      <c r="CV65" s="4">
        <v>184.0</v>
      </c>
      <c r="CW65" s="4">
        <v>21.0</v>
      </c>
      <c r="CX65" s="4">
        <f t="shared" si="3"/>
        <v>205</v>
      </c>
    </row>
    <row r="66">
      <c r="A66" s="4">
        <v>65.0</v>
      </c>
      <c r="B66" s="13" t="s">
        <v>209</v>
      </c>
      <c r="C66" s="4" t="s">
        <v>210</v>
      </c>
      <c r="D66" s="4" t="s">
        <v>139</v>
      </c>
      <c r="E66" s="4">
        <v>2025.0</v>
      </c>
      <c r="F66" s="4">
        <v>8.5</v>
      </c>
      <c r="G66" s="4">
        <v>56.0</v>
      </c>
      <c r="H66" s="4">
        <v>362.0</v>
      </c>
      <c r="I66" s="4">
        <v>312.0</v>
      </c>
      <c r="J66" s="4">
        <v>182.0</v>
      </c>
      <c r="K66" s="4">
        <v>182.0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  <c r="T66" s="4">
        <v>113.0</v>
      </c>
      <c r="U66" s="4">
        <v>75.0</v>
      </c>
      <c r="V66" s="4">
        <v>0.0</v>
      </c>
      <c r="W66" s="4">
        <v>0.0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0.0</v>
      </c>
      <c r="AG66" s="4">
        <v>0.0</v>
      </c>
      <c r="AH66" s="4">
        <v>0.0</v>
      </c>
      <c r="AI66" s="4">
        <v>0.0</v>
      </c>
      <c r="AJ66" s="4">
        <v>0.0</v>
      </c>
      <c r="AK66" s="4">
        <v>0.0</v>
      </c>
      <c r="AL66" s="4">
        <f t="shared" si="1"/>
        <v>1226</v>
      </c>
      <c r="AM66" s="4">
        <v>802.0</v>
      </c>
      <c r="AN66" s="4">
        <v>272.0</v>
      </c>
      <c r="AO66" s="4">
        <v>1074.0</v>
      </c>
      <c r="AP66" s="4">
        <v>358.0</v>
      </c>
      <c r="AQ66" s="4">
        <v>684.0</v>
      </c>
      <c r="AR66" s="4">
        <v>32.0</v>
      </c>
      <c r="AS66" s="4">
        <v>758.0</v>
      </c>
      <c r="AT66" s="4">
        <v>68.0</v>
      </c>
      <c r="AU66" s="4">
        <v>687.0</v>
      </c>
      <c r="AV66" s="4">
        <v>23.0</v>
      </c>
      <c r="AW66" s="4">
        <v>112.0</v>
      </c>
      <c r="AX66" s="4">
        <v>0.0</v>
      </c>
      <c r="AY66" s="4">
        <v>0.0</v>
      </c>
      <c r="AZ66" s="4">
        <v>0.0</v>
      </c>
      <c r="BA66" s="4">
        <v>0.0</v>
      </c>
      <c r="BB66" s="4">
        <v>0.0</v>
      </c>
      <c r="BC66" s="4">
        <v>0.0</v>
      </c>
      <c r="BD66" s="4">
        <v>0.0</v>
      </c>
      <c r="BE66" s="4">
        <v>0.0</v>
      </c>
      <c r="BF66" s="4">
        <v>0.0</v>
      </c>
      <c r="BG66" s="4">
        <v>0.0</v>
      </c>
      <c r="BH66" s="4">
        <v>0.0</v>
      </c>
      <c r="BI66" s="4">
        <v>0.0</v>
      </c>
      <c r="BJ66" s="4">
        <v>0.0</v>
      </c>
      <c r="BK66" s="4">
        <v>120.0</v>
      </c>
      <c r="BL66" s="4">
        <v>68.0</v>
      </c>
      <c r="BM66" s="4">
        <v>188.0</v>
      </c>
      <c r="BN66" s="4">
        <v>34.0</v>
      </c>
      <c r="BO66" s="4">
        <v>154.0</v>
      </c>
      <c r="BP66" s="4">
        <v>0.0</v>
      </c>
      <c r="BQ66" s="4">
        <v>17.0</v>
      </c>
      <c r="BR66" s="4">
        <v>78.0</v>
      </c>
      <c r="BS66" s="4">
        <v>25.0</v>
      </c>
      <c r="BT66" s="4">
        <v>58.0</v>
      </c>
      <c r="BU66" s="4">
        <v>0.0</v>
      </c>
      <c r="BV66" s="4">
        <v>12.0</v>
      </c>
      <c r="BW66" s="4">
        <v>0.0</v>
      </c>
      <c r="BX66" s="4">
        <v>0.0</v>
      </c>
      <c r="BY66" s="4">
        <v>0.0</v>
      </c>
      <c r="BZ66" s="4">
        <v>0.0</v>
      </c>
      <c r="CA66" s="4">
        <v>0.0</v>
      </c>
      <c r="CB66" s="4">
        <v>0.0</v>
      </c>
      <c r="CC66" s="4">
        <v>0.0</v>
      </c>
      <c r="CD66" s="4">
        <v>0.0</v>
      </c>
      <c r="CE66" s="4">
        <v>0.0</v>
      </c>
      <c r="CF66" s="4">
        <v>0.0</v>
      </c>
      <c r="CG66" s="4">
        <v>0.0</v>
      </c>
      <c r="CH66" s="4">
        <v>0.0</v>
      </c>
      <c r="CI66" s="4">
        <v>0.0</v>
      </c>
      <c r="CJ66" s="4">
        <v>0.0</v>
      </c>
      <c r="CK66" s="4">
        <v>0.0</v>
      </c>
      <c r="CL66" s="4">
        <v>0.0</v>
      </c>
      <c r="CM66" s="4">
        <v>0.0</v>
      </c>
      <c r="CN66" s="4">
        <v>0.0</v>
      </c>
      <c r="CO66" s="4">
        <v>0.0</v>
      </c>
      <c r="CP66" s="4">
        <v>0.0</v>
      </c>
      <c r="CQ66" s="4">
        <v>0.0</v>
      </c>
      <c r="CR66" s="4">
        <v>0.0</v>
      </c>
      <c r="CS66" s="4">
        <v>0.0</v>
      </c>
      <c r="CT66" s="4">
        <v>0.0</v>
      </c>
      <c r="CU66" s="4">
        <f t="shared" si="2"/>
        <v>1262</v>
      </c>
      <c r="CV66" s="4">
        <v>68.0</v>
      </c>
      <c r="CW66" s="4">
        <v>3.0</v>
      </c>
      <c r="CX66" s="4">
        <f t="shared" si="3"/>
        <v>71</v>
      </c>
    </row>
    <row r="67">
      <c r="A67" s="4">
        <v>66.0</v>
      </c>
      <c r="B67" s="4" t="s">
        <v>211</v>
      </c>
      <c r="C67" s="4" t="s">
        <v>212</v>
      </c>
      <c r="D67" s="4" t="s">
        <v>139</v>
      </c>
      <c r="E67" s="4">
        <v>2025.0</v>
      </c>
      <c r="F67" s="4">
        <v>13.2</v>
      </c>
      <c r="G67" s="4">
        <v>283.0</v>
      </c>
      <c r="H67" s="4">
        <v>1100.0</v>
      </c>
      <c r="I67" s="4">
        <v>866.0</v>
      </c>
      <c r="J67" s="4">
        <v>1017.0</v>
      </c>
      <c r="K67" s="4">
        <v>991.0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  <c r="T67" s="4">
        <v>475.0</v>
      </c>
      <c r="U67" s="4">
        <v>475.0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0.0</v>
      </c>
      <c r="AG67" s="4">
        <v>0.0</v>
      </c>
      <c r="AH67" s="4">
        <v>0.0</v>
      </c>
      <c r="AI67" s="4">
        <v>0.0</v>
      </c>
      <c r="AJ67" s="4">
        <v>0.0</v>
      </c>
      <c r="AK67" s="4">
        <v>0.0</v>
      </c>
      <c r="AL67" s="4">
        <f t="shared" si="1"/>
        <v>4924</v>
      </c>
      <c r="AM67" s="4">
        <v>2863.0</v>
      </c>
      <c r="AN67" s="4">
        <v>755.0</v>
      </c>
      <c r="AO67" s="4">
        <v>3618.0</v>
      </c>
      <c r="AP67" s="4">
        <v>1727.0</v>
      </c>
      <c r="AQ67" s="4">
        <v>1766.0</v>
      </c>
      <c r="AR67" s="4">
        <v>125.0</v>
      </c>
      <c r="AS67" s="4">
        <v>747.0</v>
      </c>
      <c r="AT67" s="4">
        <v>1658.0</v>
      </c>
      <c r="AU67" s="4">
        <v>807.0</v>
      </c>
      <c r="AV67" s="4">
        <v>546.0</v>
      </c>
      <c r="AW67" s="4">
        <v>8.0</v>
      </c>
      <c r="AX67" s="4">
        <v>1044.0</v>
      </c>
      <c r="AY67" s="4">
        <v>0.0</v>
      </c>
      <c r="AZ67" s="4">
        <v>0.0</v>
      </c>
      <c r="BA67" s="4">
        <v>0.0</v>
      </c>
      <c r="BB67" s="4">
        <v>0.0</v>
      </c>
      <c r="BC67" s="4">
        <v>0.0</v>
      </c>
      <c r="BD67" s="4">
        <v>0.0</v>
      </c>
      <c r="BE67" s="4">
        <v>0.0</v>
      </c>
      <c r="BF67" s="4">
        <v>0.0</v>
      </c>
      <c r="BG67" s="4">
        <v>0.0</v>
      </c>
      <c r="BH67" s="4">
        <v>0.0</v>
      </c>
      <c r="BI67" s="4">
        <v>0.0</v>
      </c>
      <c r="BJ67" s="4">
        <v>0.0</v>
      </c>
      <c r="BK67" s="4">
        <v>443.0</v>
      </c>
      <c r="BL67" s="4">
        <v>126.0</v>
      </c>
      <c r="BM67" s="4">
        <v>569.0</v>
      </c>
      <c r="BN67" s="4">
        <v>240.0</v>
      </c>
      <c r="BO67" s="4">
        <v>329.0</v>
      </c>
      <c r="BP67" s="4">
        <v>0.0</v>
      </c>
      <c r="BQ67" s="4">
        <v>0.0</v>
      </c>
      <c r="BR67" s="4">
        <v>222.0</v>
      </c>
      <c r="BS67" s="4">
        <v>103.0</v>
      </c>
      <c r="BT67" s="4">
        <v>0.0</v>
      </c>
      <c r="BU67" s="4">
        <v>3.0</v>
      </c>
      <c r="BV67" s="4">
        <v>116.0</v>
      </c>
      <c r="BW67" s="4">
        <v>0.0</v>
      </c>
      <c r="BX67" s="4">
        <v>0.0</v>
      </c>
      <c r="BY67" s="4">
        <v>0.0</v>
      </c>
      <c r="BZ67" s="4">
        <v>0.0</v>
      </c>
      <c r="CA67" s="4">
        <v>0.0</v>
      </c>
      <c r="CB67" s="4">
        <v>0.0</v>
      </c>
      <c r="CC67" s="4">
        <v>0.0</v>
      </c>
      <c r="CD67" s="4">
        <v>0.0</v>
      </c>
      <c r="CE67" s="4">
        <v>0.0</v>
      </c>
      <c r="CF67" s="4">
        <v>0.0</v>
      </c>
      <c r="CG67" s="4">
        <v>0.0</v>
      </c>
      <c r="CH67" s="4">
        <v>0.0</v>
      </c>
      <c r="CI67" s="4">
        <v>0.0</v>
      </c>
      <c r="CJ67" s="4">
        <v>0.0</v>
      </c>
      <c r="CK67" s="4">
        <v>0.0</v>
      </c>
      <c r="CL67" s="4">
        <v>0.0</v>
      </c>
      <c r="CM67" s="4">
        <v>0.0</v>
      </c>
      <c r="CN67" s="4">
        <v>0.0</v>
      </c>
      <c r="CO67" s="4">
        <v>0.0</v>
      </c>
      <c r="CP67" s="4">
        <v>0.0</v>
      </c>
      <c r="CQ67" s="4">
        <v>0.0</v>
      </c>
      <c r="CR67" s="4">
        <v>0.0</v>
      </c>
      <c r="CS67" s="4">
        <v>0.0</v>
      </c>
      <c r="CT67" s="4">
        <v>0.0</v>
      </c>
      <c r="CU67" s="4">
        <f t="shared" si="2"/>
        <v>4187</v>
      </c>
      <c r="CV67" s="4">
        <v>339.0</v>
      </c>
      <c r="CW67" s="4">
        <v>248.0</v>
      </c>
      <c r="CX67" s="4">
        <f t="shared" si="3"/>
        <v>587</v>
      </c>
    </row>
    <row r="68">
      <c r="A68" s="4">
        <v>67.0</v>
      </c>
      <c r="B68" s="13" t="s">
        <v>213</v>
      </c>
      <c r="C68" s="4" t="s">
        <v>137</v>
      </c>
      <c r="D68" s="4" t="s">
        <v>146</v>
      </c>
      <c r="E68" s="4">
        <v>2025.0</v>
      </c>
      <c r="F68" s="4">
        <v>15.19</v>
      </c>
      <c r="G68" s="4">
        <v>468.0</v>
      </c>
      <c r="H68" s="4">
        <v>1254.0</v>
      </c>
      <c r="I68" s="4">
        <v>1254.0</v>
      </c>
      <c r="J68" s="4">
        <v>1140.0</v>
      </c>
      <c r="K68" s="4">
        <v>1140.0</v>
      </c>
      <c r="L68" s="4">
        <v>0.0</v>
      </c>
      <c r="M68" s="4">
        <v>0.0</v>
      </c>
      <c r="N68" s="4">
        <v>180.0</v>
      </c>
      <c r="O68" s="4">
        <v>180.0</v>
      </c>
      <c r="P68" s="4">
        <v>180.0</v>
      </c>
      <c r="Q68" s="4">
        <v>180.0</v>
      </c>
      <c r="R68" s="4">
        <v>180.0</v>
      </c>
      <c r="S68" s="4">
        <v>0.0</v>
      </c>
      <c r="T68" s="4">
        <v>270.0</v>
      </c>
      <c r="U68" s="4">
        <v>421.0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0.0</v>
      </c>
      <c r="AG68" s="4">
        <v>0.0</v>
      </c>
      <c r="AH68" s="4">
        <v>0.0</v>
      </c>
      <c r="AI68" s="4">
        <v>0.0</v>
      </c>
      <c r="AJ68" s="4">
        <v>0.0</v>
      </c>
      <c r="AK68" s="4">
        <v>0.0</v>
      </c>
      <c r="AL68" s="4">
        <f t="shared" si="1"/>
        <v>6379</v>
      </c>
      <c r="AM68" s="4">
        <v>3287.0</v>
      </c>
      <c r="AN68" s="4">
        <v>1821.0</v>
      </c>
      <c r="AO68" s="4">
        <v>5108.0</v>
      </c>
      <c r="AP68" s="4">
        <v>4921.0</v>
      </c>
      <c r="AQ68" s="4">
        <v>161.0</v>
      </c>
      <c r="AR68" s="4">
        <v>26.0</v>
      </c>
      <c r="AS68" s="4">
        <v>461.0</v>
      </c>
      <c r="AT68" s="4">
        <v>4647.0</v>
      </c>
      <c r="AU68" s="4">
        <v>860.0</v>
      </c>
      <c r="AV68" s="4">
        <v>181.0</v>
      </c>
      <c r="AW68" s="4">
        <v>2.0</v>
      </c>
      <c r="AX68" s="4">
        <v>4065.0</v>
      </c>
      <c r="AY68" s="4">
        <v>711.0</v>
      </c>
      <c r="AZ68" s="4">
        <v>110.0</v>
      </c>
      <c r="BA68" s="4">
        <v>821.0</v>
      </c>
      <c r="BB68" s="4">
        <v>813.0</v>
      </c>
      <c r="BC68" s="4">
        <v>8.0</v>
      </c>
      <c r="BD68" s="4">
        <v>0.0</v>
      </c>
      <c r="BE68" s="4">
        <v>37.0</v>
      </c>
      <c r="BF68" s="4">
        <v>784.0</v>
      </c>
      <c r="BG68" s="4">
        <v>189.0</v>
      </c>
      <c r="BH68" s="4">
        <v>58.0</v>
      </c>
      <c r="BI68" s="4">
        <v>0.0</v>
      </c>
      <c r="BJ68" s="4">
        <v>574.0</v>
      </c>
      <c r="BK68" s="4">
        <v>179.0</v>
      </c>
      <c r="BL68" s="4">
        <v>124.0</v>
      </c>
      <c r="BM68" s="4">
        <v>303.0</v>
      </c>
      <c r="BN68" s="4">
        <v>298.0</v>
      </c>
      <c r="BO68" s="4">
        <v>5.0</v>
      </c>
      <c r="BP68" s="4">
        <v>0.0</v>
      </c>
      <c r="BQ68" s="4">
        <v>34.0</v>
      </c>
      <c r="BR68" s="4">
        <v>269.0</v>
      </c>
      <c r="BS68" s="4">
        <v>9.0</v>
      </c>
      <c r="BT68" s="4">
        <v>0.0</v>
      </c>
      <c r="BU68" s="4">
        <v>1.0</v>
      </c>
      <c r="BV68" s="4">
        <v>293.0</v>
      </c>
      <c r="BW68" s="4">
        <v>0.0</v>
      </c>
      <c r="BX68" s="4">
        <v>0.0</v>
      </c>
      <c r="BY68" s="4">
        <v>0.0</v>
      </c>
      <c r="BZ68" s="4">
        <v>0.0</v>
      </c>
      <c r="CA68" s="4">
        <v>0.0</v>
      </c>
      <c r="CB68" s="4">
        <v>0.0</v>
      </c>
      <c r="CC68" s="4">
        <v>0.0</v>
      </c>
      <c r="CD68" s="4">
        <v>0.0</v>
      </c>
      <c r="CE68" s="4">
        <v>0.0</v>
      </c>
      <c r="CF68" s="4">
        <v>0.0</v>
      </c>
      <c r="CG68" s="4">
        <v>0.0</v>
      </c>
      <c r="CH68" s="4">
        <v>0.0</v>
      </c>
      <c r="CI68" s="4">
        <v>0.0</v>
      </c>
      <c r="CJ68" s="4">
        <v>0.0</v>
      </c>
      <c r="CK68" s="4">
        <v>0.0</v>
      </c>
      <c r="CL68" s="4">
        <v>0.0</v>
      </c>
      <c r="CM68" s="4">
        <v>0.0</v>
      </c>
      <c r="CN68" s="4">
        <v>0.0</v>
      </c>
      <c r="CO68" s="4">
        <v>0.0</v>
      </c>
      <c r="CP68" s="4">
        <v>0.0</v>
      </c>
      <c r="CQ68" s="4">
        <v>0.0</v>
      </c>
      <c r="CR68" s="4">
        <v>0.0</v>
      </c>
      <c r="CS68" s="4">
        <v>0.0</v>
      </c>
      <c r="CT68" s="4">
        <v>0.0</v>
      </c>
      <c r="CU68" s="4">
        <f t="shared" si="2"/>
        <v>6232</v>
      </c>
      <c r="CV68" s="4">
        <v>127.0</v>
      </c>
      <c r="CW68" s="4">
        <v>219.0</v>
      </c>
      <c r="CX68" s="4">
        <f t="shared" si="3"/>
        <v>346</v>
      </c>
    </row>
    <row r="69">
      <c r="A69" s="4">
        <v>68.0</v>
      </c>
      <c r="B69" s="4" t="s">
        <v>214</v>
      </c>
      <c r="C69" s="4" t="s">
        <v>103</v>
      </c>
      <c r="D69" s="4" t="s">
        <v>146</v>
      </c>
      <c r="E69" s="4">
        <v>2025.0</v>
      </c>
      <c r="F69" s="4">
        <v>17.99</v>
      </c>
      <c r="G69" s="4">
        <v>1092.0</v>
      </c>
      <c r="H69" s="4">
        <v>2970.0</v>
      </c>
      <c r="I69" s="4">
        <v>2730.0</v>
      </c>
      <c r="J69" s="4">
        <v>2580.0</v>
      </c>
      <c r="K69" s="4">
        <v>2940.0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150.0</v>
      </c>
      <c r="U69" s="4">
        <v>150.0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  <c r="AG69" s="4">
        <v>0.0</v>
      </c>
      <c r="AH69" s="4">
        <v>0.0</v>
      </c>
      <c r="AI69" s="4">
        <v>0.0</v>
      </c>
      <c r="AJ69" s="4">
        <v>0.0</v>
      </c>
      <c r="AK69" s="4">
        <v>0.0</v>
      </c>
      <c r="AL69" s="4">
        <f t="shared" si="1"/>
        <v>11520</v>
      </c>
      <c r="AM69" s="4">
        <v>6608.0</v>
      </c>
      <c r="AN69" s="4">
        <v>4612.0</v>
      </c>
      <c r="AO69" s="4">
        <v>11220.0</v>
      </c>
      <c r="AP69" s="4">
        <v>1486.0</v>
      </c>
      <c r="AQ69" s="4">
        <v>9608.0</v>
      </c>
      <c r="AR69" s="4">
        <v>126.0</v>
      </c>
      <c r="AS69" s="4">
        <v>1619.0</v>
      </c>
      <c r="AT69" s="4">
        <v>6412.0</v>
      </c>
      <c r="AU69" s="4">
        <v>0.0</v>
      </c>
      <c r="AV69" s="4">
        <v>1148.0</v>
      </c>
      <c r="AW69" s="4">
        <v>301.0</v>
      </c>
      <c r="AX69" s="4">
        <v>6582.0</v>
      </c>
      <c r="AY69" s="4">
        <v>0.0</v>
      </c>
      <c r="AZ69" s="4">
        <v>0.0</v>
      </c>
      <c r="BA69" s="4">
        <v>0.0</v>
      </c>
      <c r="BB69" s="4">
        <v>0.0</v>
      </c>
      <c r="BC69" s="4">
        <v>0.0</v>
      </c>
      <c r="BD69" s="4">
        <v>0.0</v>
      </c>
      <c r="BE69" s="4">
        <v>0.0</v>
      </c>
      <c r="BF69" s="4">
        <v>0.0</v>
      </c>
      <c r="BG69" s="4">
        <v>0.0</v>
      </c>
      <c r="BH69" s="4">
        <v>0.0</v>
      </c>
      <c r="BI69" s="4">
        <v>0.0</v>
      </c>
      <c r="BJ69" s="4">
        <v>0.0</v>
      </c>
      <c r="BK69" s="4">
        <v>98.0</v>
      </c>
      <c r="BL69" s="4">
        <v>193.0</v>
      </c>
      <c r="BM69" s="4">
        <v>291.0</v>
      </c>
      <c r="BN69" s="4">
        <v>93.0</v>
      </c>
      <c r="BO69" s="4">
        <v>198.0</v>
      </c>
      <c r="BP69" s="4">
        <v>0.0</v>
      </c>
      <c r="BQ69" s="4">
        <v>23.0</v>
      </c>
      <c r="BR69" s="4">
        <v>151.0</v>
      </c>
      <c r="BS69" s="4">
        <v>0.0</v>
      </c>
      <c r="BT69" s="4">
        <v>133.0</v>
      </c>
      <c r="BU69" s="4">
        <v>14.0</v>
      </c>
      <c r="BV69" s="4">
        <v>27.0</v>
      </c>
      <c r="BW69" s="4">
        <v>0.0</v>
      </c>
      <c r="BX69" s="4">
        <v>0.0</v>
      </c>
      <c r="BY69" s="4">
        <v>0.0</v>
      </c>
      <c r="BZ69" s="4">
        <v>0.0</v>
      </c>
      <c r="CA69" s="4">
        <v>0.0</v>
      </c>
      <c r="CB69" s="4">
        <v>0.0</v>
      </c>
      <c r="CC69" s="4">
        <v>0.0</v>
      </c>
      <c r="CD69" s="4">
        <v>0.0</v>
      </c>
      <c r="CE69" s="4">
        <v>0.0</v>
      </c>
      <c r="CF69" s="4">
        <v>0.0</v>
      </c>
      <c r="CG69" s="4">
        <v>0.0</v>
      </c>
      <c r="CH69" s="4">
        <v>0.0</v>
      </c>
      <c r="CI69" s="4">
        <v>0.0</v>
      </c>
      <c r="CJ69" s="4">
        <v>0.0</v>
      </c>
      <c r="CK69" s="4">
        <v>0.0</v>
      </c>
      <c r="CL69" s="4">
        <v>0.0</v>
      </c>
      <c r="CM69" s="4">
        <v>0.0</v>
      </c>
      <c r="CN69" s="4">
        <v>0.0</v>
      </c>
      <c r="CO69" s="4">
        <v>0.0</v>
      </c>
      <c r="CP69" s="4">
        <v>0.0</v>
      </c>
      <c r="CQ69" s="4">
        <v>0.0</v>
      </c>
      <c r="CR69" s="4">
        <v>0.0</v>
      </c>
      <c r="CS69" s="4">
        <v>0.0</v>
      </c>
      <c r="CT69" s="4">
        <v>0.0</v>
      </c>
      <c r="CU69" s="4">
        <f t="shared" si="2"/>
        <v>11511</v>
      </c>
      <c r="CV69" s="4">
        <v>446.0</v>
      </c>
      <c r="CW69" s="4">
        <v>362.0</v>
      </c>
      <c r="CX69" s="4">
        <f t="shared" si="3"/>
        <v>808</v>
      </c>
    </row>
    <row r="70">
      <c r="A70" s="4">
        <v>69.0</v>
      </c>
      <c r="B70" s="12" t="s">
        <v>215</v>
      </c>
      <c r="C70" s="4" t="s">
        <v>216</v>
      </c>
      <c r="D70" s="4" t="s">
        <v>139</v>
      </c>
      <c r="E70" s="4">
        <v>2025.0</v>
      </c>
      <c r="F70" s="4">
        <v>8.19</v>
      </c>
      <c r="G70" s="4">
        <v>77.0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  <c r="T70" s="4">
        <v>180.0</v>
      </c>
      <c r="U70" s="4">
        <v>180.0</v>
      </c>
      <c r="V70" s="4">
        <v>0.0</v>
      </c>
      <c r="W70" s="4">
        <v>0.0</v>
      </c>
      <c r="X70" s="4">
        <v>0.0</v>
      </c>
      <c r="Y70" s="4">
        <v>0.0</v>
      </c>
      <c r="Z70" s="8">
        <v>0.0</v>
      </c>
      <c r="AA70" s="8">
        <v>0.0</v>
      </c>
      <c r="AB70" s="8">
        <v>0.0</v>
      </c>
      <c r="AC70" s="8">
        <v>0.0</v>
      </c>
      <c r="AD70" s="8">
        <v>0.0</v>
      </c>
      <c r="AE70" s="8">
        <v>0.0</v>
      </c>
      <c r="AF70" s="6">
        <v>180.0</v>
      </c>
      <c r="AG70" s="6">
        <v>180.0</v>
      </c>
      <c r="AH70" s="6">
        <v>120.0</v>
      </c>
      <c r="AI70" s="6">
        <v>120.0</v>
      </c>
      <c r="AJ70" s="6">
        <v>120.0</v>
      </c>
      <c r="AK70" s="6">
        <v>0.0</v>
      </c>
      <c r="AL70" s="4">
        <f t="shared" si="1"/>
        <v>1080</v>
      </c>
      <c r="AM70" s="4">
        <v>0.0</v>
      </c>
      <c r="AN70" s="4">
        <v>0.0</v>
      </c>
      <c r="AO70" s="4">
        <v>0.0</v>
      </c>
      <c r="AP70" s="4">
        <v>0.0</v>
      </c>
      <c r="AQ70" s="4">
        <v>0.0</v>
      </c>
      <c r="AR70" s="4">
        <v>0.0</v>
      </c>
      <c r="AS70" s="4">
        <v>0.0</v>
      </c>
      <c r="AT70" s="4">
        <v>0.0</v>
      </c>
      <c r="AU70" s="4">
        <v>0.0</v>
      </c>
      <c r="AV70" s="4">
        <v>0.0</v>
      </c>
      <c r="AW70" s="4">
        <v>0.0</v>
      </c>
      <c r="AX70" s="4">
        <v>0.0</v>
      </c>
      <c r="AY70" s="4">
        <v>0.0</v>
      </c>
      <c r="AZ70" s="4">
        <v>0.0</v>
      </c>
      <c r="BA70" s="4">
        <v>0.0</v>
      </c>
      <c r="BB70" s="4">
        <v>0.0</v>
      </c>
      <c r="BC70" s="4">
        <v>0.0</v>
      </c>
      <c r="BD70" s="4">
        <v>0.0</v>
      </c>
      <c r="BE70" s="4">
        <v>0.0</v>
      </c>
      <c r="BF70" s="4">
        <v>0.0</v>
      </c>
      <c r="BG70" s="4">
        <v>0.0</v>
      </c>
      <c r="BH70" s="4">
        <v>0.0</v>
      </c>
      <c r="BI70" s="4">
        <v>0.0</v>
      </c>
      <c r="BJ70" s="4">
        <v>0.0</v>
      </c>
      <c r="BK70" s="4">
        <v>268.0</v>
      </c>
      <c r="BL70" s="4">
        <v>92.0</v>
      </c>
      <c r="BM70" s="4">
        <v>360.0</v>
      </c>
      <c r="BN70" s="4">
        <v>30.0</v>
      </c>
      <c r="BO70" s="4">
        <v>329.0</v>
      </c>
      <c r="BP70" s="4">
        <v>1.0</v>
      </c>
      <c r="BQ70" s="4">
        <v>1.0</v>
      </c>
      <c r="BR70" s="4">
        <v>0.0</v>
      </c>
      <c r="BS70" s="4">
        <v>0.0</v>
      </c>
      <c r="BT70" s="4">
        <v>1.0</v>
      </c>
      <c r="BU70" s="4">
        <v>0.0</v>
      </c>
      <c r="BV70" s="4">
        <v>0.0</v>
      </c>
      <c r="BW70" s="4">
        <v>0.0</v>
      </c>
      <c r="BX70" s="4">
        <v>0.0</v>
      </c>
      <c r="BY70" s="4">
        <v>0.0</v>
      </c>
      <c r="BZ70" s="4">
        <v>0.0</v>
      </c>
      <c r="CA70" s="4">
        <v>0.0</v>
      </c>
      <c r="CB70" s="4">
        <v>0.0</v>
      </c>
      <c r="CC70" s="4">
        <v>0.0</v>
      </c>
      <c r="CD70" s="4">
        <v>0.0</v>
      </c>
      <c r="CE70" s="4">
        <v>0.0</v>
      </c>
      <c r="CF70" s="4">
        <v>0.0</v>
      </c>
      <c r="CG70" s="4">
        <v>0.0</v>
      </c>
      <c r="CH70" s="4">
        <v>0.0</v>
      </c>
      <c r="CI70" s="6">
        <v>629.0</v>
      </c>
      <c r="CJ70" s="6">
        <v>47.0</v>
      </c>
      <c r="CK70" s="6">
        <v>676.0</v>
      </c>
      <c r="CL70" s="6">
        <v>127.0</v>
      </c>
      <c r="CM70" s="6">
        <v>549.0</v>
      </c>
      <c r="CN70" s="6">
        <v>0.0</v>
      </c>
      <c r="CO70" s="6">
        <v>32.0</v>
      </c>
      <c r="CP70" s="6">
        <v>0.0</v>
      </c>
      <c r="CQ70" s="6">
        <v>0.0</v>
      </c>
      <c r="CR70" s="6">
        <v>32.0</v>
      </c>
      <c r="CS70" s="6">
        <v>0.0</v>
      </c>
      <c r="CT70" s="6">
        <v>0.0</v>
      </c>
      <c r="CU70" s="4">
        <f t="shared" si="2"/>
        <v>1036</v>
      </c>
      <c r="CV70" s="4">
        <v>73.0</v>
      </c>
      <c r="CW70" s="4">
        <v>21.0</v>
      </c>
      <c r="CX70" s="4">
        <f t="shared" si="3"/>
        <v>94</v>
      </c>
    </row>
    <row r="71">
      <c r="A71" s="4">
        <v>70.0</v>
      </c>
      <c r="B71" s="4" t="s">
        <v>217</v>
      </c>
      <c r="C71" s="4" t="s">
        <v>210</v>
      </c>
      <c r="D71" s="4" t="s">
        <v>2</v>
      </c>
      <c r="E71" s="4">
        <v>2025.0</v>
      </c>
      <c r="F71" s="4">
        <v>15.48</v>
      </c>
      <c r="G71" s="4">
        <v>521.0</v>
      </c>
      <c r="H71" s="4">
        <v>2054.0</v>
      </c>
      <c r="I71" s="4">
        <v>2005.0</v>
      </c>
      <c r="J71" s="4">
        <v>1876.0</v>
      </c>
      <c r="K71" s="4">
        <v>1876.0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150.0</v>
      </c>
      <c r="U71" s="4">
        <v>150.0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0.0</v>
      </c>
      <c r="AB71" s="4">
        <v>0.0</v>
      </c>
      <c r="AC71" s="4">
        <v>0.0</v>
      </c>
      <c r="AD71" s="4">
        <v>0.0</v>
      </c>
      <c r="AE71" s="4">
        <v>0.0</v>
      </c>
      <c r="AF71" s="4">
        <v>0.0</v>
      </c>
      <c r="AG71" s="4">
        <v>0.0</v>
      </c>
      <c r="AH71" s="4">
        <v>0.0</v>
      </c>
      <c r="AI71" s="4">
        <v>0.0</v>
      </c>
      <c r="AJ71" s="4">
        <v>0.0</v>
      </c>
      <c r="AK71" s="4">
        <v>0.0</v>
      </c>
      <c r="AL71" s="4">
        <f t="shared" si="1"/>
        <v>8111</v>
      </c>
      <c r="AM71" s="4">
        <v>6051.0</v>
      </c>
      <c r="AN71" s="4">
        <v>1169.0</v>
      </c>
      <c r="AO71" s="4">
        <v>7220.0</v>
      </c>
      <c r="AP71" s="4">
        <v>4526.0</v>
      </c>
      <c r="AQ71" s="4">
        <v>2474.0</v>
      </c>
      <c r="AR71" s="4">
        <v>220.0</v>
      </c>
      <c r="AS71" s="4">
        <v>748.0</v>
      </c>
      <c r="AT71" s="4">
        <v>3419.0</v>
      </c>
      <c r="AU71" s="4">
        <v>1062.0</v>
      </c>
      <c r="AV71" s="4">
        <v>1100.0</v>
      </c>
      <c r="AW71" s="4">
        <v>0.0</v>
      </c>
      <c r="AX71" s="4">
        <v>2005.0</v>
      </c>
      <c r="AY71" s="4">
        <v>0.0</v>
      </c>
      <c r="AZ71" s="4">
        <v>0.0</v>
      </c>
      <c r="BA71" s="4">
        <v>0.0</v>
      </c>
      <c r="BB71" s="4">
        <v>0.0</v>
      </c>
      <c r="BC71" s="4">
        <v>0.0</v>
      </c>
      <c r="BD71" s="4">
        <v>0.0</v>
      </c>
      <c r="BE71" s="4">
        <v>0.0</v>
      </c>
      <c r="BF71" s="4">
        <v>0.0</v>
      </c>
      <c r="BG71" s="4">
        <v>0.0</v>
      </c>
      <c r="BH71" s="4">
        <v>0.0</v>
      </c>
      <c r="BI71" s="4">
        <v>0.0</v>
      </c>
      <c r="BJ71" s="4">
        <v>0.0</v>
      </c>
      <c r="BK71" s="4">
        <v>191.0</v>
      </c>
      <c r="BL71" s="4">
        <v>87.0</v>
      </c>
      <c r="BM71" s="4">
        <v>278.0</v>
      </c>
      <c r="BN71" s="4">
        <v>109.0</v>
      </c>
      <c r="BO71" s="4">
        <v>169.0</v>
      </c>
      <c r="BP71" s="4">
        <v>0.0</v>
      </c>
      <c r="BQ71" s="4">
        <v>17.0</v>
      </c>
      <c r="BR71" s="4">
        <v>86.0</v>
      </c>
      <c r="BS71" s="4">
        <v>0.0</v>
      </c>
      <c r="BT71" s="4">
        <v>0.0</v>
      </c>
      <c r="BU71" s="4">
        <v>0.0</v>
      </c>
      <c r="BV71" s="4">
        <v>103.0</v>
      </c>
      <c r="BW71" s="4">
        <v>0.0</v>
      </c>
      <c r="BX71" s="4">
        <v>0.0</v>
      </c>
      <c r="BY71" s="4">
        <v>0.0</v>
      </c>
      <c r="BZ71" s="4">
        <v>0.0</v>
      </c>
      <c r="CA71" s="4">
        <v>0.0</v>
      </c>
      <c r="CB71" s="4">
        <v>0.0</v>
      </c>
      <c r="CC71" s="4">
        <v>0.0</v>
      </c>
      <c r="CD71" s="4">
        <v>0.0</v>
      </c>
      <c r="CE71" s="4">
        <v>0.0</v>
      </c>
      <c r="CF71" s="4">
        <v>0.0</v>
      </c>
      <c r="CG71" s="4">
        <v>0.0</v>
      </c>
      <c r="CH71" s="4">
        <v>0.0</v>
      </c>
      <c r="CI71" s="4">
        <v>0.0</v>
      </c>
      <c r="CJ71" s="4">
        <v>0.0</v>
      </c>
      <c r="CK71" s="4">
        <v>0.0</v>
      </c>
      <c r="CL71" s="4">
        <v>0.0</v>
      </c>
      <c r="CM71" s="4">
        <v>0.0</v>
      </c>
      <c r="CN71" s="4">
        <v>0.0</v>
      </c>
      <c r="CO71" s="4">
        <v>0.0</v>
      </c>
      <c r="CP71" s="4">
        <v>0.0</v>
      </c>
      <c r="CQ71" s="4">
        <v>0.0</v>
      </c>
      <c r="CR71" s="4">
        <v>0.0</v>
      </c>
      <c r="CS71" s="4">
        <v>0.0</v>
      </c>
      <c r="CT71" s="4">
        <v>0.0</v>
      </c>
      <c r="CU71" s="4">
        <f t="shared" si="2"/>
        <v>7498</v>
      </c>
      <c r="CV71" s="4">
        <v>296.0</v>
      </c>
      <c r="CW71" s="4">
        <v>0.0</v>
      </c>
      <c r="CX71" s="4">
        <f t="shared" si="3"/>
        <v>296</v>
      </c>
    </row>
    <row r="72">
      <c r="A72" s="4">
        <v>71.0</v>
      </c>
      <c r="B72" s="4" t="s">
        <v>218</v>
      </c>
      <c r="C72" s="4" t="s">
        <v>219</v>
      </c>
      <c r="D72" s="4" t="s">
        <v>118</v>
      </c>
      <c r="E72" s="4">
        <v>2025.0</v>
      </c>
      <c r="F72" s="4">
        <v>10.89</v>
      </c>
      <c r="G72" s="4">
        <v>312.0</v>
      </c>
      <c r="H72" s="4">
        <v>1050.0</v>
      </c>
      <c r="I72" s="4">
        <v>1050.0</v>
      </c>
      <c r="J72" s="4">
        <v>930.0</v>
      </c>
      <c r="K72" s="4">
        <v>930.0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144.0</v>
      </c>
      <c r="U72" s="4">
        <v>198.0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  <c r="AG72" s="4">
        <v>0.0</v>
      </c>
      <c r="AH72" s="4">
        <v>0.0</v>
      </c>
      <c r="AI72" s="4">
        <v>0.0</v>
      </c>
      <c r="AJ72" s="4">
        <v>0.0</v>
      </c>
      <c r="AK72" s="4">
        <v>0.0</v>
      </c>
      <c r="AL72" s="4">
        <f t="shared" si="1"/>
        <v>4302</v>
      </c>
      <c r="AM72" s="4">
        <v>0.0</v>
      </c>
      <c r="AN72" s="4">
        <v>3146.0</v>
      </c>
      <c r="AO72" s="4">
        <v>3146.0</v>
      </c>
      <c r="AP72" s="4">
        <v>251.0</v>
      </c>
      <c r="AQ72" s="4">
        <v>2851.0</v>
      </c>
      <c r="AR72" s="4">
        <v>44.0</v>
      </c>
      <c r="AS72" s="4">
        <v>1792.0</v>
      </c>
      <c r="AT72" s="4">
        <v>693.0</v>
      </c>
      <c r="AU72" s="4">
        <v>113.0</v>
      </c>
      <c r="AV72" s="4">
        <v>838.0</v>
      </c>
      <c r="AW72" s="4">
        <v>43.0</v>
      </c>
      <c r="AX72" s="4">
        <v>1491.0</v>
      </c>
      <c r="AY72" s="4">
        <v>0.0</v>
      </c>
      <c r="AZ72" s="4">
        <v>0.0</v>
      </c>
      <c r="BA72" s="4">
        <v>0.0</v>
      </c>
      <c r="BB72" s="4">
        <v>0.0</v>
      </c>
      <c r="BC72" s="4">
        <v>0.0</v>
      </c>
      <c r="BD72" s="4">
        <v>0.0</v>
      </c>
      <c r="BE72" s="4">
        <v>0.0</v>
      </c>
      <c r="BF72" s="4">
        <v>0.0</v>
      </c>
      <c r="BG72" s="4">
        <v>0.0</v>
      </c>
      <c r="BH72" s="4">
        <v>0.0</v>
      </c>
      <c r="BI72" s="4">
        <v>0.0</v>
      </c>
      <c r="BJ72" s="4">
        <v>0.0</v>
      </c>
      <c r="BK72" s="4">
        <v>0.0</v>
      </c>
      <c r="BL72" s="4">
        <v>41.0</v>
      </c>
      <c r="BM72" s="4">
        <v>41.0</v>
      </c>
      <c r="BN72" s="4">
        <v>2.0</v>
      </c>
      <c r="BO72" s="4">
        <v>39.0</v>
      </c>
      <c r="BP72" s="4">
        <v>0.0</v>
      </c>
      <c r="BQ72" s="4">
        <v>21.0</v>
      </c>
      <c r="BR72" s="4">
        <v>5.0</v>
      </c>
      <c r="BS72" s="4">
        <v>1.0</v>
      </c>
      <c r="BT72" s="4">
        <v>17.0</v>
      </c>
      <c r="BU72" s="4">
        <v>0.0</v>
      </c>
      <c r="BV72" s="4">
        <v>8.0</v>
      </c>
      <c r="BW72" s="4">
        <v>0.0</v>
      </c>
      <c r="BX72" s="4">
        <v>0.0</v>
      </c>
      <c r="BY72" s="4">
        <v>0.0</v>
      </c>
      <c r="BZ72" s="4">
        <v>0.0</v>
      </c>
      <c r="CA72" s="4">
        <v>0.0</v>
      </c>
      <c r="CB72" s="4">
        <v>0.0</v>
      </c>
      <c r="CC72" s="4">
        <v>0.0</v>
      </c>
      <c r="CD72" s="4">
        <v>0.0</v>
      </c>
      <c r="CE72" s="4">
        <v>0.0</v>
      </c>
      <c r="CF72" s="4">
        <v>0.0</v>
      </c>
      <c r="CG72" s="4">
        <v>0.0</v>
      </c>
      <c r="CH72" s="4">
        <v>0.0</v>
      </c>
      <c r="CI72" s="4">
        <v>0.0</v>
      </c>
      <c r="CJ72" s="4">
        <v>0.0</v>
      </c>
      <c r="CK72" s="4">
        <v>0.0</v>
      </c>
      <c r="CL72" s="4">
        <v>0.0</v>
      </c>
      <c r="CM72" s="4">
        <v>0.0</v>
      </c>
      <c r="CN72" s="4">
        <v>0.0</v>
      </c>
      <c r="CO72" s="4">
        <v>0.0</v>
      </c>
      <c r="CP72" s="4">
        <v>0.0</v>
      </c>
      <c r="CQ72" s="4">
        <v>0.0</v>
      </c>
      <c r="CR72" s="4">
        <v>0.0</v>
      </c>
      <c r="CS72" s="4">
        <v>0.0</v>
      </c>
      <c r="CT72" s="4">
        <v>0.0</v>
      </c>
      <c r="CU72" s="4">
        <f t="shared" si="2"/>
        <v>3187</v>
      </c>
      <c r="CV72" s="4">
        <v>231.0</v>
      </c>
      <c r="CW72" s="4">
        <v>0.0</v>
      </c>
      <c r="CX72" s="4">
        <f t="shared" si="3"/>
        <v>231</v>
      </c>
    </row>
    <row r="73">
      <c r="A73" s="4">
        <v>72.0</v>
      </c>
      <c r="B73" s="4" t="s">
        <v>220</v>
      </c>
      <c r="C73" s="4" t="s">
        <v>221</v>
      </c>
      <c r="D73" s="4" t="s">
        <v>139</v>
      </c>
      <c r="E73" s="4">
        <v>2025.0</v>
      </c>
      <c r="F73" s="4">
        <v>6.22</v>
      </c>
      <c r="G73" s="4">
        <v>77.0</v>
      </c>
      <c r="H73" s="4">
        <v>230.0</v>
      </c>
      <c r="I73" s="4">
        <v>190.0</v>
      </c>
      <c r="J73" s="4">
        <v>170.0</v>
      </c>
      <c r="K73" s="4">
        <v>170.0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130.0</v>
      </c>
      <c r="U73" s="4">
        <v>69.0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  <c r="AG73" s="4">
        <v>0.0</v>
      </c>
      <c r="AH73" s="4">
        <v>0.0</v>
      </c>
      <c r="AI73" s="4">
        <v>0.0</v>
      </c>
      <c r="AJ73" s="4">
        <v>0.0</v>
      </c>
      <c r="AK73" s="4">
        <v>0.0</v>
      </c>
      <c r="AL73" s="4">
        <f t="shared" si="1"/>
        <v>959</v>
      </c>
      <c r="AM73" s="4">
        <v>594.0</v>
      </c>
      <c r="AN73" s="4">
        <v>153.0</v>
      </c>
      <c r="AO73" s="4">
        <v>747.0</v>
      </c>
      <c r="AP73" s="4">
        <v>25.0</v>
      </c>
      <c r="AQ73" s="4">
        <v>722.0</v>
      </c>
      <c r="AR73" s="4">
        <v>0.0</v>
      </c>
      <c r="AS73" s="4">
        <v>88.0</v>
      </c>
      <c r="AT73" s="4">
        <v>387.0</v>
      </c>
      <c r="AU73" s="4">
        <v>7.0</v>
      </c>
      <c r="AV73" s="4">
        <v>322.0</v>
      </c>
      <c r="AW73" s="4">
        <v>0.0</v>
      </c>
      <c r="AX73" s="4">
        <v>146.0</v>
      </c>
      <c r="AY73" s="4">
        <v>0.0</v>
      </c>
      <c r="AZ73" s="4">
        <v>0.0</v>
      </c>
      <c r="BA73" s="4">
        <v>0.0</v>
      </c>
      <c r="BB73" s="4">
        <v>0.0</v>
      </c>
      <c r="BC73" s="4">
        <v>0.0</v>
      </c>
      <c r="BD73" s="4">
        <v>0.0</v>
      </c>
      <c r="BE73" s="4">
        <v>0.0</v>
      </c>
      <c r="BF73" s="4">
        <v>0.0</v>
      </c>
      <c r="BG73" s="4">
        <v>0.0</v>
      </c>
      <c r="BH73" s="4">
        <v>0.0</v>
      </c>
      <c r="BI73" s="4">
        <v>0.0</v>
      </c>
      <c r="BJ73" s="4">
        <v>0.0</v>
      </c>
      <c r="BK73" s="4">
        <v>71.0</v>
      </c>
      <c r="BL73" s="4">
        <v>17.0</v>
      </c>
      <c r="BM73" s="4">
        <v>88.0</v>
      </c>
      <c r="BN73" s="4">
        <v>17.0</v>
      </c>
      <c r="BO73" s="4">
        <v>71.0</v>
      </c>
      <c r="BP73" s="4">
        <v>0.0</v>
      </c>
      <c r="BQ73" s="4">
        <v>12.0</v>
      </c>
      <c r="BR73" s="4">
        <v>51.0</v>
      </c>
      <c r="BS73" s="4">
        <v>0.0</v>
      </c>
      <c r="BT73" s="4">
        <v>63.0</v>
      </c>
      <c r="BU73" s="4">
        <v>0.0</v>
      </c>
      <c r="BV73" s="4">
        <v>0.0</v>
      </c>
      <c r="BW73" s="4">
        <v>0.0</v>
      </c>
      <c r="BX73" s="4">
        <v>0.0</v>
      </c>
      <c r="BY73" s="4">
        <v>0.0</v>
      </c>
      <c r="BZ73" s="4">
        <v>0.0</v>
      </c>
      <c r="CA73" s="4">
        <v>0.0</v>
      </c>
      <c r="CB73" s="4">
        <v>0.0</v>
      </c>
      <c r="CC73" s="4">
        <v>0.0</v>
      </c>
      <c r="CD73" s="4">
        <v>0.0</v>
      </c>
      <c r="CE73" s="4">
        <v>0.0</v>
      </c>
      <c r="CF73" s="4">
        <v>0.0</v>
      </c>
      <c r="CG73" s="4">
        <v>0.0</v>
      </c>
      <c r="CH73" s="4">
        <v>0.0</v>
      </c>
      <c r="CI73" s="4">
        <v>0.0</v>
      </c>
      <c r="CJ73" s="4">
        <v>0.0</v>
      </c>
      <c r="CK73" s="4">
        <v>0.0</v>
      </c>
      <c r="CL73" s="4">
        <v>0.0</v>
      </c>
      <c r="CM73" s="4">
        <v>0.0</v>
      </c>
      <c r="CN73" s="4">
        <v>0.0</v>
      </c>
      <c r="CO73" s="4">
        <v>0.0</v>
      </c>
      <c r="CP73" s="4">
        <v>0.0</v>
      </c>
      <c r="CQ73" s="4">
        <v>0.0</v>
      </c>
      <c r="CR73" s="4">
        <v>0.0</v>
      </c>
      <c r="CS73" s="4">
        <v>0.0</v>
      </c>
      <c r="CT73" s="4">
        <v>0.0</v>
      </c>
      <c r="CU73" s="4">
        <f t="shared" si="2"/>
        <v>835</v>
      </c>
      <c r="CV73" s="4">
        <v>74.0</v>
      </c>
      <c r="CW73" s="4">
        <v>12.0</v>
      </c>
      <c r="CX73" s="4">
        <f t="shared" si="3"/>
        <v>86</v>
      </c>
    </row>
    <row r="74">
      <c r="A74" s="4">
        <v>73.0</v>
      </c>
      <c r="B74" s="4" t="s">
        <v>222</v>
      </c>
      <c r="C74" s="4" t="s">
        <v>223</v>
      </c>
      <c r="D74" s="4" t="s">
        <v>139</v>
      </c>
      <c r="E74" s="4">
        <v>2025.0</v>
      </c>
      <c r="F74" s="4">
        <v>13.01</v>
      </c>
      <c r="G74" s="4">
        <v>222.0</v>
      </c>
      <c r="H74" s="4">
        <v>899.0</v>
      </c>
      <c r="I74" s="4">
        <v>899.0</v>
      </c>
      <c r="J74" s="4">
        <v>899.0</v>
      </c>
      <c r="K74" s="4">
        <v>778.0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  <c r="T74" s="4">
        <v>250.0</v>
      </c>
      <c r="U74" s="4">
        <v>250.0</v>
      </c>
      <c r="V74" s="4">
        <v>0.0</v>
      </c>
      <c r="W74" s="4">
        <v>0.0</v>
      </c>
      <c r="X74" s="4">
        <v>0.0</v>
      </c>
      <c r="Y74" s="4">
        <v>0.0</v>
      </c>
      <c r="Z74" s="4">
        <v>0.0</v>
      </c>
      <c r="AA74" s="4">
        <v>0.0</v>
      </c>
      <c r="AB74" s="4">
        <v>0.0</v>
      </c>
      <c r="AC74" s="4">
        <v>0.0</v>
      </c>
      <c r="AD74" s="4">
        <v>0.0</v>
      </c>
      <c r="AE74" s="4">
        <v>0.0</v>
      </c>
      <c r="AF74" s="4">
        <v>0.0</v>
      </c>
      <c r="AG74" s="4">
        <v>0.0</v>
      </c>
      <c r="AH74" s="4">
        <v>0.0</v>
      </c>
      <c r="AI74" s="4">
        <v>0.0</v>
      </c>
      <c r="AJ74" s="4">
        <v>0.0</v>
      </c>
      <c r="AK74" s="4">
        <v>0.0</v>
      </c>
      <c r="AL74" s="4">
        <f t="shared" si="1"/>
        <v>3975</v>
      </c>
      <c r="AM74" s="4">
        <v>2583.0</v>
      </c>
      <c r="AN74" s="4">
        <v>861.0</v>
      </c>
      <c r="AO74" s="4">
        <v>3444.0</v>
      </c>
      <c r="AP74" s="4">
        <v>1456.0</v>
      </c>
      <c r="AQ74" s="4">
        <v>1988.0</v>
      </c>
      <c r="AR74" s="4">
        <v>0.0</v>
      </c>
      <c r="AS74" s="4">
        <v>1225.0</v>
      </c>
      <c r="AT74" s="4">
        <v>1914.0</v>
      </c>
      <c r="AU74" s="4">
        <v>0.0</v>
      </c>
      <c r="AV74" s="4">
        <v>2721.0</v>
      </c>
      <c r="AW74" s="4">
        <v>276.0</v>
      </c>
      <c r="AX74" s="4">
        <v>142.0</v>
      </c>
      <c r="AY74" s="4">
        <v>0.0</v>
      </c>
      <c r="AZ74" s="4">
        <v>0.0</v>
      </c>
      <c r="BA74" s="4">
        <v>0.0</v>
      </c>
      <c r="BB74" s="4">
        <v>0.0</v>
      </c>
      <c r="BC74" s="4">
        <v>0.0</v>
      </c>
      <c r="BD74" s="4">
        <v>0.0</v>
      </c>
      <c r="BE74" s="4">
        <v>0.0</v>
      </c>
      <c r="BF74" s="4">
        <v>0.0</v>
      </c>
      <c r="BG74" s="4">
        <v>0.0</v>
      </c>
      <c r="BH74" s="4">
        <v>0.0</v>
      </c>
      <c r="BI74" s="4">
        <v>0.0</v>
      </c>
      <c r="BJ74" s="4">
        <v>0.0</v>
      </c>
      <c r="BK74" s="4">
        <v>225.0</v>
      </c>
      <c r="BL74" s="4">
        <v>122.0</v>
      </c>
      <c r="BM74" s="4">
        <v>347.0</v>
      </c>
      <c r="BN74" s="4">
        <v>232.0</v>
      </c>
      <c r="BO74" s="4">
        <v>115.0</v>
      </c>
      <c r="BP74" s="4">
        <v>0.0</v>
      </c>
      <c r="BQ74" s="4">
        <v>231.0</v>
      </c>
      <c r="BR74" s="4">
        <v>69.0</v>
      </c>
      <c r="BS74" s="4">
        <v>113.0</v>
      </c>
      <c r="BT74" s="4">
        <v>101.0</v>
      </c>
      <c r="BU74" s="4">
        <v>35.0</v>
      </c>
      <c r="BV74" s="4">
        <v>51.0</v>
      </c>
      <c r="BW74" s="4">
        <v>0.0</v>
      </c>
      <c r="BX74" s="4">
        <v>0.0</v>
      </c>
      <c r="BY74" s="4">
        <v>0.0</v>
      </c>
      <c r="BZ74" s="4">
        <v>0.0</v>
      </c>
      <c r="CA74" s="4">
        <v>0.0</v>
      </c>
      <c r="CB74" s="4">
        <v>0.0</v>
      </c>
      <c r="CC74" s="4">
        <v>0.0</v>
      </c>
      <c r="CD74" s="4">
        <v>0.0</v>
      </c>
      <c r="CE74" s="4">
        <v>0.0</v>
      </c>
      <c r="CF74" s="4">
        <v>0.0</v>
      </c>
      <c r="CG74" s="4">
        <v>0.0</v>
      </c>
      <c r="CH74" s="4">
        <v>0.0</v>
      </c>
      <c r="CI74" s="4">
        <v>0.0</v>
      </c>
      <c r="CJ74" s="4">
        <v>0.0</v>
      </c>
      <c r="CK74" s="4">
        <v>0.0</v>
      </c>
      <c r="CL74" s="4">
        <v>0.0</v>
      </c>
      <c r="CM74" s="4">
        <v>0.0</v>
      </c>
      <c r="CN74" s="4">
        <v>0.0</v>
      </c>
      <c r="CO74" s="4">
        <v>0.0</v>
      </c>
      <c r="CP74" s="4">
        <v>0.0</v>
      </c>
      <c r="CQ74" s="4">
        <v>0.0</v>
      </c>
      <c r="CR74" s="4">
        <v>0.0</v>
      </c>
      <c r="CS74" s="4">
        <v>0.0</v>
      </c>
      <c r="CT74" s="4">
        <v>0.0</v>
      </c>
      <c r="CU74" s="4">
        <f t="shared" si="2"/>
        <v>3791</v>
      </c>
      <c r="CV74" s="4">
        <v>330.0</v>
      </c>
      <c r="CW74" s="4">
        <v>30.0</v>
      </c>
      <c r="CX74" s="4">
        <f t="shared" si="3"/>
        <v>360</v>
      </c>
    </row>
    <row r="75">
      <c r="A75" s="4">
        <v>74.0</v>
      </c>
      <c r="B75" s="4" t="s">
        <v>224</v>
      </c>
      <c r="C75" s="4" t="s">
        <v>110</v>
      </c>
      <c r="D75" s="4" t="s">
        <v>2</v>
      </c>
      <c r="E75" s="4">
        <v>2025.0</v>
      </c>
      <c r="F75" s="4">
        <v>4.61</v>
      </c>
      <c r="G75" s="4">
        <v>59.0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  <c r="T75" s="4">
        <v>61.0</v>
      </c>
      <c r="U75" s="4">
        <v>274.0</v>
      </c>
      <c r="V75" s="4">
        <v>0.0</v>
      </c>
      <c r="W75" s="4">
        <v>0.0</v>
      </c>
      <c r="X75" s="4">
        <v>0.0</v>
      </c>
      <c r="Y75" s="4">
        <v>0.0</v>
      </c>
      <c r="Z75" s="8">
        <v>0.0</v>
      </c>
      <c r="AA75" s="8">
        <v>0.0</v>
      </c>
      <c r="AB75" s="8">
        <v>0.0</v>
      </c>
      <c r="AC75" s="8">
        <v>0.0</v>
      </c>
      <c r="AD75" s="8">
        <v>0.0</v>
      </c>
      <c r="AE75" s="8">
        <v>0.0</v>
      </c>
      <c r="AF75" s="6">
        <v>37.0</v>
      </c>
      <c r="AG75" s="6">
        <v>38.0</v>
      </c>
      <c r="AH75" s="6">
        <v>29.0</v>
      </c>
      <c r="AI75" s="6">
        <v>30.0</v>
      </c>
      <c r="AJ75" s="6">
        <v>21.0</v>
      </c>
      <c r="AK75" s="6">
        <v>0.0</v>
      </c>
      <c r="AL75" s="4">
        <f t="shared" si="1"/>
        <v>490</v>
      </c>
      <c r="AM75" s="4">
        <v>0.0</v>
      </c>
      <c r="AN75" s="4">
        <v>0.0</v>
      </c>
      <c r="AO75" s="4">
        <v>0.0</v>
      </c>
      <c r="AP75" s="4">
        <v>0.0</v>
      </c>
      <c r="AQ75" s="4">
        <v>0.0</v>
      </c>
      <c r="AR75" s="4">
        <v>0.0</v>
      </c>
      <c r="AS75" s="4">
        <v>0.0</v>
      </c>
      <c r="AT75" s="4">
        <v>0.0</v>
      </c>
      <c r="AU75" s="4">
        <v>0.0</v>
      </c>
      <c r="AV75" s="4">
        <v>0.0</v>
      </c>
      <c r="AW75" s="4">
        <v>0.0</v>
      </c>
      <c r="AX75" s="4">
        <v>0.0</v>
      </c>
      <c r="AY75" s="4">
        <v>0.0</v>
      </c>
      <c r="AZ75" s="4">
        <v>0.0</v>
      </c>
      <c r="BA75" s="4">
        <v>0.0</v>
      </c>
      <c r="BB75" s="4">
        <v>0.0</v>
      </c>
      <c r="BC75" s="4">
        <v>0.0</v>
      </c>
      <c r="BD75" s="4">
        <v>0.0</v>
      </c>
      <c r="BE75" s="4">
        <v>0.0</v>
      </c>
      <c r="BF75" s="4">
        <v>0.0</v>
      </c>
      <c r="BG75" s="4">
        <v>0.0</v>
      </c>
      <c r="BH75" s="4">
        <v>0.0</v>
      </c>
      <c r="BI75" s="4">
        <v>0.0</v>
      </c>
      <c r="BJ75" s="4">
        <v>0.0</v>
      </c>
      <c r="BK75" s="4">
        <v>78.0</v>
      </c>
      <c r="BL75" s="4">
        <v>57.0</v>
      </c>
      <c r="BM75" s="4">
        <v>135.0</v>
      </c>
      <c r="BN75" s="4">
        <v>32.0</v>
      </c>
      <c r="BO75" s="4">
        <v>99.0</v>
      </c>
      <c r="BP75" s="4">
        <v>4.0</v>
      </c>
      <c r="BQ75" s="4">
        <v>7.0</v>
      </c>
      <c r="BR75" s="4">
        <v>66.0</v>
      </c>
      <c r="BS75" s="4">
        <v>0.0</v>
      </c>
      <c r="BT75" s="4">
        <v>1.0</v>
      </c>
      <c r="BU75" s="4">
        <v>0.0</v>
      </c>
      <c r="BV75" s="4">
        <v>72.0</v>
      </c>
      <c r="BW75" s="4">
        <v>0.0</v>
      </c>
      <c r="BX75" s="4">
        <v>0.0</v>
      </c>
      <c r="BY75" s="4">
        <v>0.0</v>
      </c>
      <c r="BZ75" s="4">
        <v>0.0</v>
      </c>
      <c r="CA75" s="4">
        <v>0.0</v>
      </c>
      <c r="CB75" s="4">
        <v>0.0</v>
      </c>
      <c r="CC75" s="4">
        <v>0.0</v>
      </c>
      <c r="CD75" s="4">
        <v>0.0</v>
      </c>
      <c r="CE75" s="4">
        <v>0.0</v>
      </c>
      <c r="CF75" s="4">
        <v>0.0</v>
      </c>
      <c r="CG75" s="4">
        <v>0.0</v>
      </c>
      <c r="CH75" s="4">
        <v>0.0</v>
      </c>
      <c r="CI75" s="6">
        <v>121.0</v>
      </c>
      <c r="CJ75" s="6">
        <v>28.0</v>
      </c>
      <c r="CK75" s="6">
        <v>149.0</v>
      </c>
      <c r="CL75" s="6">
        <v>83.0</v>
      </c>
      <c r="CM75" s="6">
        <v>58.0</v>
      </c>
      <c r="CN75" s="6">
        <v>8.0</v>
      </c>
      <c r="CO75" s="6">
        <v>25.0</v>
      </c>
      <c r="CP75" s="6">
        <v>87.0</v>
      </c>
      <c r="CQ75" s="6">
        <v>0.0</v>
      </c>
      <c r="CR75" s="6">
        <v>35.0</v>
      </c>
      <c r="CS75" s="6">
        <v>0.0</v>
      </c>
      <c r="CT75" s="6">
        <v>77.0</v>
      </c>
      <c r="CU75" s="4">
        <f t="shared" si="2"/>
        <v>284</v>
      </c>
      <c r="CV75" s="4">
        <v>180.0</v>
      </c>
      <c r="CW75" s="4">
        <v>12.0</v>
      </c>
      <c r="CX75" s="4">
        <f t="shared" si="3"/>
        <v>192</v>
      </c>
    </row>
    <row r="76">
      <c r="A76" s="4">
        <v>75.0</v>
      </c>
      <c r="B76" s="4" t="s">
        <v>225</v>
      </c>
      <c r="C76" s="4" t="s">
        <v>216</v>
      </c>
      <c r="D76" s="4" t="s">
        <v>2</v>
      </c>
      <c r="E76" s="4">
        <v>2025.0</v>
      </c>
      <c r="F76" s="4">
        <v>14.5</v>
      </c>
      <c r="G76" s="4">
        <v>398.0</v>
      </c>
      <c r="H76" s="4">
        <v>1401.0</v>
      </c>
      <c r="I76" s="4">
        <v>1260.0</v>
      </c>
      <c r="J76" s="4">
        <v>1260.0</v>
      </c>
      <c r="K76" s="4">
        <v>1080.0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180.0</v>
      </c>
      <c r="U76" s="4">
        <v>264.0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0.0</v>
      </c>
      <c r="AB76" s="4">
        <v>0.0</v>
      </c>
      <c r="AC76" s="4">
        <v>0.0</v>
      </c>
      <c r="AD76" s="4">
        <v>0.0</v>
      </c>
      <c r="AE76" s="4">
        <v>0.0</v>
      </c>
      <c r="AF76" s="4">
        <v>0.0</v>
      </c>
      <c r="AG76" s="4">
        <v>0.0</v>
      </c>
      <c r="AH76" s="4">
        <v>0.0</v>
      </c>
      <c r="AI76" s="4">
        <v>0.0</v>
      </c>
      <c r="AJ76" s="4">
        <v>0.0</v>
      </c>
      <c r="AK76" s="4">
        <v>0.0</v>
      </c>
      <c r="AL76" s="4">
        <f t="shared" si="1"/>
        <v>5445</v>
      </c>
      <c r="AM76" s="4">
        <v>3130.0</v>
      </c>
      <c r="AN76" s="4">
        <v>1684.0</v>
      </c>
      <c r="AO76" s="4">
        <v>4814.0</v>
      </c>
      <c r="AP76" s="4">
        <v>2861.0</v>
      </c>
      <c r="AQ76" s="4">
        <v>1834.0</v>
      </c>
      <c r="AR76" s="4">
        <v>119.0</v>
      </c>
      <c r="AS76" s="4">
        <v>524.0</v>
      </c>
      <c r="AT76" s="4">
        <v>1115.0</v>
      </c>
      <c r="AU76" s="4">
        <v>1391.0</v>
      </c>
      <c r="AV76" s="4">
        <v>50.0</v>
      </c>
      <c r="AW76" s="4">
        <v>0.0</v>
      </c>
      <c r="AX76" s="4">
        <v>198.0</v>
      </c>
      <c r="AY76" s="4">
        <v>0.0</v>
      </c>
      <c r="AZ76" s="4">
        <v>0.0</v>
      </c>
      <c r="BA76" s="4">
        <v>0.0</v>
      </c>
      <c r="BB76" s="4">
        <v>0.0</v>
      </c>
      <c r="BC76" s="4">
        <v>0.0</v>
      </c>
      <c r="BD76" s="4">
        <v>0.0</v>
      </c>
      <c r="BE76" s="4">
        <v>0.0</v>
      </c>
      <c r="BF76" s="4">
        <v>0.0</v>
      </c>
      <c r="BG76" s="4">
        <v>0.0</v>
      </c>
      <c r="BH76" s="4">
        <v>0.0</v>
      </c>
      <c r="BI76" s="4">
        <v>0.0</v>
      </c>
      <c r="BJ76" s="4">
        <v>0.0</v>
      </c>
      <c r="BK76" s="4">
        <v>111.0</v>
      </c>
      <c r="BL76" s="4">
        <v>115.0</v>
      </c>
      <c r="BM76" s="4">
        <v>226.0</v>
      </c>
      <c r="BN76" s="4">
        <v>215.0</v>
      </c>
      <c r="BO76" s="4">
        <v>11.0</v>
      </c>
      <c r="BP76" s="4">
        <v>0.0</v>
      </c>
      <c r="BQ76" s="4">
        <v>80.0</v>
      </c>
      <c r="BR76" s="4">
        <v>45.0</v>
      </c>
      <c r="BS76" s="4">
        <v>112.0</v>
      </c>
      <c r="BT76" s="4">
        <v>0.0</v>
      </c>
      <c r="BU76" s="4">
        <v>0.0</v>
      </c>
      <c r="BV76" s="4">
        <v>13.0</v>
      </c>
      <c r="BW76" s="4">
        <v>0.0</v>
      </c>
      <c r="BX76" s="4">
        <v>0.0</v>
      </c>
      <c r="BY76" s="4">
        <v>0.0</v>
      </c>
      <c r="BZ76" s="4">
        <v>0.0</v>
      </c>
      <c r="CA76" s="4">
        <v>0.0</v>
      </c>
      <c r="CB76" s="4">
        <v>0.0</v>
      </c>
      <c r="CC76" s="4">
        <v>0.0</v>
      </c>
      <c r="CD76" s="4">
        <v>0.0</v>
      </c>
      <c r="CE76" s="4">
        <v>0.0</v>
      </c>
      <c r="CF76" s="4">
        <v>0.0</v>
      </c>
      <c r="CG76" s="4">
        <v>0.0</v>
      </c>
      <c r="CH76" s="4">
        <v>0.0</v>
      </c>
      <c r="CI76" s="6">
        <v>0.0</v>
      </c>
      <c r="CJ76" s="6">
        <v>0.0</v>
      </c>
      <c r="CK76" s="6">
        <v>0.0</v>
      </c>
      <c r="CL76" s="6">
        <v>0.0</v>
      </c>
      <c r="CM76" s="6">
        <v>0.0</v>
      </c>
      <c r="CN76" s="6">
        <v>0.0</v>
      </c>
      <c r="CO76" s="6">
        <v>0.0</v>
      </c>
      <c r="CP76" s="6">
        <v>0.0</v>
      </c>
      <c r="CQ76" s="6">
        <v>0.0</v>
      </c>
      <c r="CR76" s="6">
        <v>0.0</v>
      </c>
      <c r="CS76" s="6">
        <v>0.0</v>
      </c>
      <c r="CT76" s="6">
        <v>0.0</v>
      </c>
      <c r="CU76" s="4">
        <f t="shared" si="2"/>
        <v>5040</v>
      </c>
      <c r="CV76" s="4">
        <v>140.0</v>
      </c>
      <c r="CW76" s="4">
        <v>217.0</v>
      </c>
      <c r="CX76" s="4">
        <f t="shared" si="3"/>
        <v>357</v>
      </c>
    </row>
    <row r="77">
      <c r="A77" s="4">
        <v>76.0</v>
      </c>
      <c r="B77" s="4" t="s">
        <v>226</v>
      </c>
      <c r="C77" s="4" t="s">
        <v>216</v>
      </c>
      <c r="D77" s="4" t="s">
        <v>118</v>
      </c>
      <c r="E77" s="4">
        <v>2025.0</v>
      </c>
      <c r="F77" s="4">
        <v>10.15</v>
      </c>
      <c r="G77" s="4">
        <v>216.0</v>
      </c>
      <c r="H77" s="4">
        <v>780.0</v>
      </c>
      <c r="I77" s="4">
        <v>780.0</v>
      </c>
      <c r="J77" s="4">
        <v>660.0</v>
      </c>
      <c r="K77" s="4">
        <v>660.0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84.0</v>
      </c>
      <c r="U77" s="4">
        <v>84.0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  <c r="AG77" s="4">
        <v>0.0</v>
      </c>
      <c r="AH77" s="4">
        <v>0.0</v>
      </c>
      <c r="AI77" s="4">
        <v>0.0</v>
      </c>
      <c r="AJ77" s="4">
        <v>0.0</v>
      </c>
      <c r="AK77" s="4">
        <v>0.0</v>
      </c>
      <c r="AL77" s="4">
        <f t="shared" si="1"/>
        <v>3048</v>
      </c>
      <c r="AM77" s="4">
        <v>1964.0</v>
      </c>
      <c r="AN77" s="4">
        <v>720.0</v>
      </c>
      <c r="AO77" s="4">
        <v>2684.0</v>
      </c>
      <c r="AP77" s="4">
        <v>592.0</v>
      </c>
      <c r="AQ77" s="4">
        <v>2073.0</v>
      </c>
      <c r="AR77" s="4">
        <v>19.0</v>
      </c>
      <c r="AS77" s="4">
        <v>276.0</v>
      </c>
      <c r="AT77" s="4">
        <v>269.0</v>
      </c>
      <c r="AU77" s="4">
        <v>12.0</v>
      </c>
      <c r="AV77" s="4">
        <v>391.0</v>
      </c>
      <c r="AW77" s="4">
        <v>3.0</v>
      </c>
      <c r="AX77" s="4">
        <v>139.0</v>
      </c>
      <c r="AY77" s="4">
        <v>0.0</v>
      </c>
      <c r="AZ77" s="4">
        <v>0.0</v>
      </c>
      <c r="BA77" s="4">
        <v>0.0</v>
      </c>
      <c r="BB77" s="4">
        <v>0.0</v>
      </c>
      <c r="BC77" s="4">
        <v>0.0</v>
      </c>
      <c r="BD77" s="4">
        <v>0.0</v>
      </c>
      <c r="BE77" s="4">
        <v>0.0</v>
      </c>
      <c r="BF77" s="4">
        <v>0.0</v>
      </c>
      <c r="BG77" s="4">
        <v>0.0</v>
      </c>
      <c r="BH77" s="4">
        <v>0.0</v>
      </c>
      <c r="BI77" s="4">
        <v>0.0</v>
      </c>
      <c r="BJ77" s="4">
        <v>0.0</v>
      </c>
      <c r="BK77" s="4">
        <v>84.0</v>
      </c>
      <c r="BL77" s="4">
        <v>34.0</v>
      </c>
      <c r="BM77" s="4">
        <v>118.0</v>
      </c>
      <c r="BN77" s="4">
        <v>42.0</v>
      </c>
      <c r="BO77" s="4">
        <v>76.0</v>
      </c>
      <c r="BP77" s="4">
        <v>0.0</v>
      </c>
      <c r="BQ77" s="4">
        <v>22.0</v>
      </c>
      <c r="BR77" s="4">
        <v>39.0</v>
      </c>
      <c r="BS77" s="4">
        <v>0.0</v>
      </c>
      <c r="BT77" s="4">
        <v>35.0</v>
      </c>
      <c r="BU77" s="4">
        <v>1.0</v>
      </c>
      <c r="BV77" s="4">
        <v>25.0</v>
      </c>
      <c r="BW77" s="4">
        <v>0.0</v>
      </c>
      <c r="BX77" s="4">
        <v>0.0</v>
      </c>
      <c r="BY77" s="4">
        <v>0.0</v>
      </c>
      <c r="BZ77" s="4">
        <v>0.0</v>
      </c>
      <c r="CA77" s="4">
        <v>0.0</v>
      </c>
      <c r="CB77" s="4">
        <v>0.0</v>
      </c>
      <c r="CC77" s="4">
        <v>0.0</v>
      </c>
      <c r="CD77" s="4">
        <v>0.0</v>
      </c>
      <c r="CE77" s="4">
        <v>0.0</v>
      </c>
      <c r="CF77" s="4">
        <v>0.0</v>
      </c>
      <c r="CG77" s="4">
        <v>0.0</v>
      </c>
      <c r="CH77" s="4">
        <v>0.0</v>
      </c>
      <c r="CI77" s="6">
        <v>0.0</v>
      </c>
      <c r="CJ77" s="6">
        <v>0.0</v>
      </c>
      <c r="CK77" s="6">
        <v>0.0</v>
      </c>
      <c r="CL77" s="6">
        <v>0.0</v>
      </c>
      <c r="CM77" s="6">
        <v>0.0</v>
      </c>
      <c r="CN77" s="6">
        <v>0.0</v>
      </c>
      <c r="CO77" s="6">
        <v>0.0</v>
      </c>
      <c r="CP77" s="6">
        <v>0.0</v>
      </c>
      <c r="CQ77" s="6">
        <v>0.0</v>
      </c>
      <c r="CR77" s="6">
        <v>0.0</v>
      </c>
      <c r="CS77" s="6">
        <v>0.0</v>
      </c>
      <c r="CT77" s="6">
        <v>0.0</v>
      </c>
      <c r="CU77" s="4">
        <f t="shared" si="2"/>
        <v>2802</v>
      </c>
      <c r="CV77" s="4">
        <v>35.0</v>
      </c>
      <c r="CW77" s="4">
        <v>97.0</v>
      </c>
      <c r="CX77" s="4">
        <f t="shared" si="3"/>
        <v>132</v>
      </c>
    </row>
    <row r="78">
      <c r="A78" s="4">
        <v>77.0</v>
      </c>
      <c r="B78" s="12" t="s">
        <v>227</v>
      </c>
      <c r="C78" s="4" t="s">
        <v>228</v>
      </c>
      <c r="D78" s="4" t="s">
        <v>139</v>
      </c>
      <c r="E78" s="4">
        <v>2025.0</v>
      </c>
      <c r="F78" s="4">
        <v>8.04</v>
      </c>
      <c r="G78" s="4">
        <v>112.0</v>
      </c>
      <c r="H78" s="4">
        <v>248.0</v>
      </c>
      <c r="I78" s="4">
        <v>251.0</v>
      </c>
      <c r="J78" s="4">
        <v>180.0</v>
      </c>
      <c r="K78" s="4">
        <v>170.0</v>
      </c>
      <c r="L78" s="4">
        <v>0.0</v>
      </c>
      <c r="M78" s="4">
        <v>0.0</v>
      </c>
      <c r="N78" s="4">
        <v>57.0</v>
      </c>
      <c r="O78" s="4">
        <v>58.0</v>
      </c>
      <c r="P78" s="4">
        <v>0.0</v>
      </c>
      <c r="Q78" s="4">
        <v>0.0</v>
      </c>
      <c r="R78" s="4">
        <v>0.0</v>
      </c>
      <c r="S78" s="4">
        <v>0.0</v>
      </c>
      <c r="T78" s="4">
        <v>56.0</v>
      </c>
      <c r="U78" s="4">
        <v>22.0</v>
      </c>
      <c r="V78" s="4">
        <v>0.0</v>
      </c>
      <c r="W78" s="4">
        <v>0.0</v>
      </c>
      <c r="X78" s="4">
        <v>0.0</v>
      </c>
      <c r="Y78" s="4">
        <v>0.0</v>
      </c>
      <c r="Z78" s="4">
        <v>11.0</v>
      </c>
      <c r="AA78" s="4">
        <v>60.0</v>
      </c>
      <c r="AB78" s="4">
        <v>19.0</v>
      </c>
      <c r="AC78" s="4">
        <v>0.0</v>
      </c>
      <c r="AD78" s="4">
        <v>0.0</v>
      </c>
      <c r="AE78" s="4">
        <v>0.0</v>
      </c>
      <c r="AF78" s="4">
        <v>0.0</v>
      </c>
      <c r="AG78" s="4">
        <v>0.0</v>
      </c>
      <c r="AH78" s="4">
        <v>0.0</v>
      </c>
      <c r="AI78" s="4">
        <v>0.0</v>
      </c>
      <c r="AJ78" s="4">
        <v>0.0</v>
      </c>
      <c r="AK78" s="4">
        <v>0.0</v>
      </c>
      <c r="AL78" s="4">
        <f t="shared" si="1"/>
        <v>1132</v>
      </c>
      <c r="AM78" s="4">
        <v>618.0</v>
      </c>
      <c r="AN78" s="4">
        <v>153.0</v>
      </c>
      <c r="AO78" s="4">
        <v>771.0</v>
      </c>
      <c r="AP78" s="4">
        <v>62.0</v>
      </c>
      <c r="AQ78" s="4">
        <v>709.0</v>
      </c>
      <c r="AR78" s="4">
        <v>0.0</v>
      </c>
      <c r="AS78" s="4">
        <v>111.0</v>
      </c>
      <c r="AT78" s="4">
        <v>408.0</v>
      </c>
      <c r="AU78" s="4">
        <v>191.0</v>
      </c>
      <c r="AV78" s="4">
        <v>179.0</v>
      </c>
      <c r="AW78" s="4">
        <v>0.0</v>
      </c>
      <c r="AX78" s="4">
        <v>149.0</v>
      </c>
      <c r="AY78" s="4">
        <v>45.0</v>
      </c>
      <c r="AZ78" s="4">
        <v>7.0</v>
      </c>
      <c r="BA78" s="4">
        <v>52.0</v>
      </c>
      <c r="BB78" s="4">
        <v>0.0</v>
      </c>
      <c r="BC78" s="4">
        <v>52.0</v>
      </c>
      <c r="BD78" s="4">
        <v>0.0</v>
      </c>
      <c r="BE78" s="4">
        <v>8.0</v>
      </c>
      <c r="BF78" s="4">
        <v>28.0</v>
      </c>
      <c r="BG78" s="4">
        <v>17.0</v>
      </c>
      <c r="BH78" s="4">
        <v>14.0</v>
      </c>
      <c r="BI78" s="4">
        <v>0.0</v>
      </c>
      <c r="BJ78" s="4">
        <v>5.0</v>
      </c>
      <c r="BK78" s="4">
        <v>40.0</v>
      </c>
      <c r="BL78" s="4">
        <v>8.0</v>
      </c>
      <c r="BM78" s="4">
        <v>48.0</v>
      </c>
      <c r="BN78" s="4">
        <v>9.0</v>
      </c>
      <c r="BO78" s="4">
        <v>39.0</v>
      </c>
      <c r="BP78" s="4">
        <v>0.0</v>
      </c>
      <c r="BQ78" s="4">
        <v>4.0</v>
      </c>
      <c r="BR78" s="4">
        <v>25.0</v>
      </c>
      <c r="BS78" s="4">
        <v>29.0</v>
      </c>
      <c r="BT78" s="4">
        <v>0.0</v>
      </c>
      <c r="BU78" s="4">
        <v>0.0</v>
      </c>
      <c r="BV78" s="4">
        <v>0.0</v>
      </c>
      <c r="BW78" s="4">
        <v>0.0</v>
      </c>
      <c r="BX78" s="4">
        <v>0.0</v>
      </c>
      <c r="BY78" s="4">
        <v>0.0</v>
      </c>
      <c r="BZ78" s="4">
        <v>0.0</v>
      </c>
      <c r="CA78" s="4">
        <v>0.0</v>
      </c>
      <c r="CB78" s="4">
        <v>0.0</v>
      </c>
      <c r="CC78" s="4">
        <v>0.0</v>
      </c>
      <c r="CD78" s="4">
        <v>0.0</v>
      </c>
      <c r="CE78" s="4">
        <v>0.0</v>
      </c>
      <c r="CF78" s="4">
        <v>0.0</v>
      </c>
      <c r="CG78" s="4">
        <v>0.0</v>
      </c>
      <c r="CH78" s="4">
        <v>0.0</v>
      </c>
      <c r="CI78" s="6">
        <v>34.0</v>
      </c>
      <c r="CJ78" s="6">
        <v>6.0</v>
      </c>
      <c r="CK78" s="6">
        <v>40.0</v>
      </c>
      <c r="CL78" s="6">
        <v>8.0</v>
      </c>
      <c r="CM78" s="6">
        <v>32.0</v>
      </c>
      <c r="CN78" s="6">
        <v>0.0</v>
      </c>
      <c r="CO78" s="6">
        <v>3.0</v>
      </c>
      <c r="CP78" s="6">
        <v>11.0</v>
      </c>
      <c r="CQ78" s="6">
        <v>14.0</v>
      </c>
      <c r="CR78" s="6">
        <v>0.0</v>
      </c>
      <c r="CS78" s="6">
        <v>0.0</v>
      </c>
      <c r="CT78" s="6">
        <v>0.0</v>
      </c>
      <c r="CU78" s="4">
        <f t="shared" si="2"/>
        <v>911</v>
      </c>
      <c r="CV78" s="4">
        <v>148.0</v>
      </c>
      <c r="CW78" s="4">
        <v>4.0</v>
      </c>
      <c r="CX78" s="4">
        <f t="shared" si="3"/>
        <v>152</v>
      </c>
    </row>
    <row r="79">
      <c r="A79" s="4">
        <v>78.0</v>
      </c>
      <c r="B79" s="4" t="s">
        <v>229</v>
      </c>
      <c r="C79" s="4" t="s">
        <v>230</v>
      </c>
      <c r="D79" s="4" t="s">
        <v>139</v>
      </c>
      <c r="E79" s="4">
        <v>2025.0</v>
      </c>
      <c r="F79" s="4">
        <v>9.5</v>
      </c>
      <c r="G79" s="4">
        <v>118.0</v>
      </c>
      <c r="H79" s="4">
        <v>429.0</v>
      </c>
      <c r="I79" s="4">
        <v>409.0</v>
      </c>
      <c r="J79" s="4">
        <v>207.0</v>
      </c>
      <c r="K79" s="4">
        <v>182.0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9.0</v>
      </c>
      <c r="U79" s="4">
        <v>7.0</v>
      </c>
      <c r="V79" s="4">
        <v>0.0</v>
      </c>
      <c r="W79" s="4">
        <v>0.0</v>
      </c>
      <c r="X79" s="4">
        <v>0.0</v>
      </c>
      <c r="Y79" s="4">
        <v>0.0</v>
      </c>
      <c r="Z79" s="8">
        <v>0.0</v>
      </c>
      <c r="AA79" s="8">
        <v>0.0</v>
      </c>
      <c r="AB79" s="8">
        <v>0.0</v>
      </c>
      <c r="AC79" s="8">
        <v>0.0</v>
      </c>
      <c r="AD79" s="8">
        <v>0.0</v>
      </c>
      <c r="AE79" s="8">
        <v>0.0</v>
      </c>
      <c r="AF79" s="6">
        <v>41.0</v>
      </c>
      <c r="AG79" s="6">
        <v>0.0</v>
      </c>
      <c r="AH79" s="6">
        <v>0.0</v>
      </c>
      <c r="AI79" s="6">
        <v>0.0</v>
      </c>
      <c r="AJ79" s="6">
        <v>0.0</v>
      </c>
      <c r="AK79" s="6">
        <v>0.0</v>
      </c>
      <c r="AL79" s="4">
        <f t="shared" si="1"/>
        <v>1284</v>
      </c>
      <c r="AM79" s="4">
        <v>1045.0</v>
      </c>
      <c r="AN79" s="4">
        <v>182.0</v>
      </c>
      <c r="AO79" s="4">
        <v>1227.0</v>
      </c>
      <c r="AP79" s="4">
        <v>458.0</v>
      </c>
      <c r="AQ79" s="4">
        <v>762.0</v>
      </c>
      <c r="AR79" s="4">
        <v>7.0</v>
      </c>
      <c r="AS79" s="4">
        <v>246.0</v>
      </c>
      <c r="AT79" s="4">
        <v>530.0</v>
      </c>
      <c r="AU79" s="4">
        <v>115.0</v>
      </c>
      <c r="AV79" s="4">
        <v>82.0</v>
      </c>
      <c r="AW79" s="4">
        <v>6.0</v>
      </c>
      <c r="AX79" s="4">
        <v>573.0</v>
      </c>
      <c r="AY79" s="4">
        <v>0.0</v>
      </c>
      <c r="AZ79" s="4">
        <v>0.0</v>
      </c>
      <c r="BA79" s="4">
        <v>0.0</v>
      </c>
      <c r="BB79" s="4">
        <v>0.0</v>
      </c>
      <c r="BC79" s="4">
        <v>0.0</v>
      </c>
      <c r="BD79" s="4">
        <v>0.0</v>
      </c>
      <c r="BE79" s="4">
        <v>0.0</v>
      </c>
      <c r="BF79" s="4">
        <v>0.0</v>
      </c>
      <c r="BG79" s="4">
        <v>0.0</v>
      </c>
      <c r="BH79" s="4">
        <v>0.0</v>
      </c>
      <c r="BI79" s="4">
        <v>0.0</v>
      </c>
      <c r="BJ79" s="4">
        <v>0.0</v>
      </c>
      <c r="BK79" s="4">
        <v>13.0</v>
      </c>
      <c r="BL79" s="4">
        <v>3.0</v>
      </c>
      <c r="BM79" s="4">
        <v>16.0</v>
      </c>
      <c r="BN79" s="4">
        <v>10.0</v>
      </c>
      <c r="BO79" s="4">
        <v>6.0</v>
      </c>
      <c r="BP79" s="4">
        <v>0.0</v>
      </c>
      <c r="BQ79" s="4">
        <v>0.0</v>
      </c>
      <c r="BR79" s="4">
        <v>7.0</v>
      </c>
      <c r="BS79" s="4">
        <v>0.0</v>
      </c>
      <c r="BT79" s="4">
        <v>1.0</v>
      </c>
      <c r="BU79" s="4">
        <v>0.0</v>
      </c>
      <c r="BV79" s="4">
        <v>6.0</v>
      </c>
      <c r="BW79" s="4">
        <v>0.0</v>
      </c>
      <c r="BX79" s="4">
        <v>0.0</v>
      </c>
      <c r="BY79" s="4">
        <v>0.0</v>
      </c>
      <c r="BZ79" s="4">
        <v>0.0</v>
      </c>
      <c r="CA79" s="4">
        <v>0.0</v>
      </c>
      <c r="CB79" s="4">
        <v>0.0</v>
      </c>
      <c r="CC79" s="4">
        <v>0.0</v>
      </c>
      <c r="CD79" s="4">
        <v>0.0</v>
      </c>
      <c r="CE79" s="4">
        <v>0.0</v>
      </c>
      <c r="CF79" s="4">
        <v>0.0</v>
      </c>
      <c r="CG79" s="4">
        <v>0.0</v>
      </c>
      <c r="CH79" s="4">
        <v>0.0</v>
      </c>
      <c r="CI79" s="6">
        <v>27.0</v>
      </c>
      <c r="CJ79" s="6">
        <v>14.0</v>
      </c>
      <c r="CK79" s="6">
        <v>41.0</v>
      </c>
      <c r="CL79" s="6">
        <v>18.0</v>
      </c>
      <c r="CM79" s="6">
        <v>23.0</v>
      </c>
      <c r="CN79" s="6">
        <v>0.0</v>
      </c>
      <c r="CO79" s="6">
        <v>9.0</v>
      </c>
      <c r="CP79" s="6">
        <v>24.0</v>
      </c>
      <c r="CQ79" s="6">
        <v>2.0</v>
      </c>
      <c r="CR79" s="6">
        <v>6.0</v>
      </c>
      <c r="CS79" s="6">
        <v>1.0</v>
      </c>
      <c r="CT79" s="6">
        <v>24.0</v>
      </c>
      <c r="CU79" s="4">
        <f t="shared" si="2"/>
        <v>1284</v>
      </c>
      <c r="CV79" s="4">
        <v>168.0</v>
      </c>
      <c r="CW79" s="4">
        <v>62.0</v>
      </c>
      <c r="CX79" s="4">
        <f t="shared" si="3"/>
        <v>230</v>
      </c>
    </row>
    <row r="80">
      <c r="A80" s="4">
        <v>79.0</v>
      </c>
      <c r="B80" s="12" t="s">
        <v>231</v>
      </c>
      <c r="C80" s="4" t="s">
        <v>232</v>
      </c>
      <c r="D80" s="4" t="s">
        <v>139</v>
      </c>
      <c r="E80" s="4">
        <v>2025.0</v>
      </c>
      <c r="F80" s="4">
        <v>10.0</v>
      </c>
      <c r="G80" s="4">
        <v>169.0</v>
      </c>
      <c r="H80" s="4">
        <v>237.0</v>
      </c>
      <c r="I80" s="4">
        <v>237.0</v>
      </c>
      <c r="J80" s="4">
        <v>237.0</v>
      </c>
      <c r="K80" s="4">
        <v>237.0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110.0</v>
      </c>
      <c r="U80" s="4">
        <v>110.0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  <c r="AG80" s="4">
        <v>0.0</v>
      </c>
      <c r="AH80" s="4">
        <v>0.0</v>
      </c>
      <c r="AI80" s="4">
        <v>0.0</v>
      </c>
      <c r="AJ80" s="4">
        <v>0.0</v>
      </c>
      <c r="AK80" s="4">
        <v>0.0</v>
      </c>
      <c r="AL80" s="4">
        <f t="shared" si="1"/>
        <v>1168</v>
      </c>
      <c r="AM80" s="4">
        <v>1588.0</v>
      </c>
      <c r="AN80" s="4">
        <v>344.0</v>
      </c>
      <c r="AO80" s="4">
        <v>1932.0</v>
      </c>
      <c r="AP80" s="4">
        <v>188.0</v>
      </c>
      <c r="AQ80" s="4">
        <v>1744.0</v>
      </c>
      <c r="AR80" s="4">
        <v>0.0</v>
      </c>
      <c r="AS80" s="4">
        <v>481.0</v>
      </c>
      <c r="AT80" s="4">
        <v>686.0</v>
      </c>
      <c r="AU80" s="4">
        <v>381.0</v>
      </c>
      <c r="AV80" s="4">
        <v>119.0</v>
      </c>
      <c r="AW80" s="4">
        <v>0.0</v>
      </c>
      <c r="AX80" s="4">
        <v>667.0</v>
      </c>
      <c r="AY80" s="4">
        <v>0.0</v>
      </c>
      <c r="AZ80" s="4">
        <v>0.0</v>
      </c>
      <c r="BA80" s="4">
        <v>0.0</v>
      </c>
      <c r="BB80" s="4">
        <v>0.0</v>
      </c>
      <c r="BC80" s="4">
        <v>0.0</v>
      </c>
      <c r="BD80" s="4">
        <v>0.0</v>
      </c>
      <c r="BE80" s="4">
        <v>0.0</v>
      </c>
      <c r="BF80" s="4">
        <v>0.0</v>
      </c>
      <c r="BG80" s="4">
        <v>0.0</v>
      </c>
      <c r="BH80" s="4">
        <v>0.0</v>
      </c>
      <c r="BI80" s="4">
        <v>0.0</v>
      </c>
      <c r="BJ80" s="4">
        <v>0.0</v>
      </c>
      <c r="BK80" s="4">
        <v>45.0</v>
      </c>
      <c r="BL80" s="4">
        <v>35.0</v>
      </c>
      <c r="BM80" s="4">
        <v>80.0</v>
      </c>
      <c r="BN80" s="4">
        <v>20.0</v>
      </c>
      <c r="BO80" s="4">
        <v>60.0</v>
      </c>
      <c r="BP80" s="4">
        <v>0.0</v>
      </c>
      <c r="BQ80" s="4">
        <v>5.0</v>
      </c>
      <c r="BR80" s="4">
        <v>33.0</v>
      </c>
      <c r="BS80" s="4">
        <v>36.0</v>
      </c>
      <c r="BT80" s="4">
        <v>0.0</v>
      </c>
      <c r="BU80" s="4">
        <v>0.0</v>
      </c>
      <c r="BV80" s="4">
        <v>2.0</v>
      </c>
      <c r="BW80" s="4">
        <v>0.0</v>
      </c>
      <c r="BX80" s="4">
        <v>0.0</v>
      </c>
      <c r="BY80" s="4">
        <v>0.0</v>
      </c>
      <c r="BZ80" s="4">
        <v>0.0</v>
      </c>
      <c r="CA80" s="4">
        <v>0.0</v>
      </c>
      <c r="CB80" s="4">
        <v>0.0</v>
      </c>
      <c r="CC80" s="4">
        <v>0.0</v>
      </c>
      <c r="CD80" s="4">
        <v>0.0</v>
      </c>
      <c r="CE80" s="4">
        <v>0.0</v>
      </c>
      <c r="CF80" s="4">
        <v>0.0</v>
      </c>
      <c r="CG80" s="4">
        <v>0.0</v>
      </c>
      <c r="CH80" s="4">
        <v>0.0</v>
      </c>
      <c r="CI80" s="6">
        <v>0.0</v>
      </c>
      <c r="CJ80" s="6">
        <v>0.0</v>
      </c>
      <c r="CK80" s="6">
        <v>0.0</v>
      </c>
      <c r="CL80" s="6">
        <v>0.0</v>
      </c>
      <c r="CM80" s="6">
        <v>0.0</v>
      </c>
      <c r="CN80" s="6">
        <v>0.0</v>
      </c>
      <c r="CO80" s="6">
        <v>0.0</v>
      </c>
      <c r="CP80" s="6">
        <v>0.0</v>
      </c>
      <c r="CQ80" s="6">
        <v>0.0</v>
      </c>
      <c r="CR80" s="6">
        <v>0.0</v>
      </c>
      <c r="CS80" s="6">
        <v>0.0</v>
      </c>
      <c r="CT80" s="6">
        <v>0.0</v>
      </c>
      <c r="CU80" s="4">
        <f t="shared" si="2"/>
        <v>2012</v>
      </c>
      <c r="CV80" s="4">
        <v>76.0</v>
      </c>
      <c r="CW80" s="4">
        <v>65.0</v>
      </c>
      <c r="CX80" s="4">
        <f t="shared" si="3"/>
        <v>141</v>
      </c>
    </row>
    <row r="81">
      <c r="A81" s="4">
        <v>80.0</v>
      </c>
      <c r="B81" s="4" t="s">
        <v>233</v>
      </c>
      <c r="C81" s="4" t="s">
        <v>234</v>
      </c>
      <c r="D81" s="4" t="s">
        <v>146</v>
      </c>
      <c r="E81" s="4">
        <v>2025.0</v>
      </c>
      <c r="F81" s="4">
        <v>17.3</v>
      </c>
      <c r="G81" s="4">
        <v>610.0</v>
      </c>
      <c r="H81" s="4">
        <v>2580.0</v>
      </c>
      <c r="I81" s="4">
        <v>1830.0</v>
      </c>
      <c r="J81" s="4">
        <v>1800.0</v>
      </c>
      <c r="K81" s="4">
        <v>1830.0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180.0</v>
      </c>
      <c r="U81" s="4">
        <v>162.0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  <c r="AG81" s="4">
        <v>0.0</v>
      </c>
      <c r="AH81" s="4">
        <v>0.0</v>
      </c>
      <c r="AI81" s="4">
        <v>0.0</v>
      </c>
      <c r="AJ81" s="4">
        <v>0.0</v>
      </c>
      <c r="AK81" s="4">
        <v>0.0</v>
      </c>
      <c r="AL81" s="4">
        <f t="shared" si="1"/>
        <v>8382</v>
      </c>
      <c r="AM81" s="4">
        <v>4244.0</v>
      </c>
      <c r="AN81" s="4">
        <v>3745.0</v>
      </c>
      <c r="AO81" s="4">
        <v>7989.0</v>
      </c>
      <c r="AP81" s="4">
        <v>3751.0</v>
      </c>
      <c r="AQ81" s="4">
        <v>3876.0</v>
      </c>
      <c r="AR81" s="4">
        <v>362.0</v>
      </c>
      <c r="AS81" s="4">
        <v>2329.0</v>
      </c>
      <c r="AT81" s="4">
        <v>2147.0</v>
      </c>
      <c r="AU81" s="4">
        <v>253.0</v>
      </c>
      <c r="AV81" s="4">
        <v>2367.0</v>
      </c>
      <c r="AW81" s="4">
        <v>1163.0</v>
      </c>
      <c r="AX81" s="4">
        <v>693.0</v>
      </c>
      <c r="AY81" s="4">
        <v>0.0</v>
      </c>
      <c r="AZ81" s="4">
        <v>0.0</v>
      </c>
      <c r="BA81" s="4">
        <v>0.0</v>
      </c>
      <c r="BB81" s="4">
        <v>0.0</v>
      </c>
      <c r="BC81" s="4">
        <v>0.0</v>
      </c>
      <c r="BD81" s="4">
        <v>0.0</v>
      </c>
      <c r="BE81" s="4">
        <v>0.0</v>
      </c>
      <c r="BF81" s="4">
        <v>0.0</v>
      </c>
      <c r="BG81" s="4">
        <v>0.0</v>
      </c>
      <c r="BH81" s="4">
        <v>0.0</v>
      </c>
      <c r="BI81" s="4">
        <v>0.0</v>
      </c>
      <c r="BJ81" s="4">
        <v>0.0</v>
      </c>
      <c r="BK81" s="4">
        <v>136.0</v>
      </c>
      <c r="BL81" s="4">
        <v>135.0</v>
      </c>
      <c r="BM81" s="4">
        <v>271.0</v>
      </c>
      <c r="BN81" s="4">
        <v>145.0</v>
      </c>
      <c r="BO81" s="4">
        <v>120.0</v>
      </c>
      <c r="BP81" s="4">
        <v>6.0</v>
      </c>
      <c r="BQ81" s="4">
        <v>64.0</v>
      </c>
      <c r="BR81" s="4">
        <v>67.0</v>
      </c>
      <c r="BS81" s="4">
        <v>19.0</v>
      </c>
      <c r="BT81" s="4">
        <v>89.0</v>
      </c>
      <c r="BU81" s="4">
        <v>10.0</v>
      </c>
      <c r="BV81" s="4">
        <v>13.0</v>
      </c>
      <c r="BW81" s="4">
        <v>0.0</v>
      </c>
      <c r="BX81" s="4">
        <v>0.0</v>
      </c>
      <c r="BY81" s="4">
        <v>0.0</v>
      </c>
      <c r="BZ81" s="4">
        <v>0.0</v>
      </c>
      <c r="CA81" s="4">
        <v>0.0</v>
      </c>
      <c r="CB81" s="4">
        <v>0.0</v>
      </c>
      <c r="CC81" s="4">
        <v>0.0</v>
      </c>
      <c r="CD81" s="4">
        <v>0.0</v>
      </c>
      <c r="CE81" s="4">
        <v>0.0</v>
      </c>
      <c r="CF81" s="4">
        <v>0.0</v>
      </c>
      <c r="CG81" s="4">
        <v>0.0</v>
      </c>
      <c r="CH81" s="4">
        <v>0.0</v>
      </c>
      <c r="CI81" s="6">
        <v>0.0</v>
      </c>
      <c r="CJ81" s="6">
        <v>0.0</v>
      </c>
      <c r="CK81" s="6">
        <v>0.0</v>
      </c>
      <c r="CL81" s="6">
        <v>0.0</v>
      </c>
      <c r="CM81" s="6">
        <v>0.0</v>
      </c>
      <c r="CN81" s="6">
        <v>0.0</v>
      </c>
      <c r="CO81" s="6">
        <v>0.0</v>
      </c>
      <c r="CP81" s="6">
        <v>0.0</v>
      </c>
      <c r="CQ81" s="6">
        <v>0.0</v>
      </c>
      <c r="CR81" s="6">
        <v>0.0</v>
      </c>
      <c r="CS81" s="6">
        <v>0.0</v>
      </c>
      <c r="CT81" s="6">
        <v>0.0</v>
      </c>
      <c r="CU81" s="4">
        <f t="shared" si="2"/>
        <v>8260</v>
      </c>
      <c r="CV81" s="4">
        <v>512.0</v>
      </c>
      <c r="CW81" s="4">
        <v>143.0</v>
      </c>
      <c r="CX81" s="4">
        <f t="shared" si="3"/>
        <v>655</v>
      </c>
    </row>
    <row r="82">
      <c r="A82" s="4">
        <v>81.0</v>
      </c>
      <c r="B82" s="4" t="s">
        <v>235</v>
      </c>
      <c r="C82" s="4" t="s">
        <v>236</v>
      </c>
      <c r="D82" s="4" t="s">
        <v>139</v>
      </c>
      <c r="E82" s="4">
        <v>2025.0</v>
      </c>
      <c r="F82" s="4">
        <v>14.72</v>
      </c>
      <c r="G82" s="4">
        <v>263.0</v>
      </c>
      <c r="H82" s="4">
        <v>1021.0</v>
      </c>
      <c r="I82" s="4">
        <v>1021.0</v>
      </c>
      <c r="J82" s="4">
        <v>1021.0</v>
      </c>
      <c r="K82" s="4">
        <v>1021.0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  <c r="T82" s="4">
        <v>578.0</v>
      </c>
      <c r="U82" s="4">
        <v>578.0</v>
      </c>
      <c r="V82" s="4">
        <v>0.0</v>
      </c>
      <c r="W82" s="4">
        <v>0.0</v>
      </c>
      <c r="X82" s="4">
        <v>0.0</v>
      </c>
      <c r="Y82" s="4">
        <v>0.0</v>
      </c>
      <c r="Z82" s="8">
        <v>0.0</v>
      </c>
      <c r="AA82" s="8">
        <v>0.0</v>
      </c>
      <c r="AB82" s="8">
        <v>0.0</v>
      </c>
      <c r="AC82" s="8">
        <v>0.0</v>
      </c>
      <c r="AD82" s="8">
        <v>0.0</v>
      </c>
      <c r="AE82" s="8">
        <v>0.0</v>
      </c>
      <c r="AF82" s="6">
        <v>30.0</v>
      </c>
      <c r="AG82" s="6">
        <v>30.0</v>
      </c>
      <c r="AH82" s="6">
        <v>30.0</v>
      </c>
      <c r="AI82" s="6">
        <v>0.0</v>
      </c>
      <c r="AJ82" s="6">
        <v>0.0</v>
      </c>
      <c r="AK82" s="6">
        <v>0.0</v>
      </c>
      <c r="AL82" s="4">
        <f t="shared" si="1"/>
        <v>5330</v>
      </c>
      <c r="AM82" s="4">
        <v>3210.0</v>
      </c>
      <c r="AN82" s="4">
        <v>848.0</v>
      </c>
      <c r="AO82" s="4">
        <v>4058.0</v>
      </c>
      <c r="AP82" s="4">
        <v>1989.0</v>
      </c>
      <c r="AQ82" s="4">
        <v>2010.0</v>
      </c>
      <c r="AR82" s="4">
        <v>59.0</v>
      </c>
      <c r="AS82" s="4">
        <v>588.0</v>
      </c>
      <c r="AT82" s="4">
        <v>1998.0</v>
      </c>
      <c r="AU82" s="4">
        <v>2056.0</v>
      </c>
      <c r="AV82" s="4">
        <v>323.0</v>
      </c>
      <c r="AW82" s="4">
        <v>174.0</v>
      </c>
      <c r="AX82" s="4">
        <v>33.0</v>
      </c>
      <c r="AY82" s="4">
        <v>0.0</v>
      </c>
      <c r="AZ82" s="4">
        <v>0.0</v>
      </c>
      <c r="BA82" s="4">
        <v>0.0</v>
      </c>
      <c r="BB82" s="4">
        <v>0.0</v>
      </c>
      <c r="BC82" s="4">
        <v>0.0</v>
      </c>
      <c r="BD82" s="4">
        <v>0.0</v>
      </c>
      <c r="BE82" s="4">
        <v>0.0</v>
      </c>
      <c r="BF82" s="4">
        <v>0.0</v>
      </c>
      <c r="BG82" s="4">
        <v>0.0</v>
      </c>
      <c r="BH82" s="4">
        <v>0.0</v>
      </c>
      <c r="BI82" s="4">
        <v>0.0</v>
      </c>
      <c r="BJ82" s="4">
        <v>0.0</v>
      </c>
      <c r="BK82" s="4">
        <v>342.0</v>
      </c>
      <c r="BL82" s="4">
        <v>136.0</v>
      </c>
      <c r="BM82" s="4">
        <v>478.0</v>
      </c>
      <c r="BN82" s="4">
        <v>192.0</v>
      </c>
      <c r="BO82" s="4">
        <v>286.0</v>
      </c>
      <c r="BP82" s="4">
        <v>0.0</v>
      </c>
      <c r="BQ82" s="4">
        <v>40.0</v>
      </c>
      <c r="BR82" s="4">
        <v>263.0</v>
      </c>
      <c r="BS82" s="4">
        <v>111.0</v>
      </c>
      <c r="BT82" s="4">
        <v>0.0</v>
      </c>
      <c r="BU82" s="4">
        <v>0.0</v>
      </c>
      <c r="BV82" s="4">
        <v>192.0</v>
      </c>
      <c r="BW82" s="4">
        <v>0.0</v>
      </c>
      <c r="BX82" s="4">
        <v>0.0</v>
      </c>
      <c r="BY82" s="4">
        <v>0.0</v>
      </c>
      <c r="BZ82" s="4">
        <v>0.0</v>
      </c>
      <c r="CA82" s="4">
        <v>0.0</v>
      </c>
      <c r="CB82" s="4">
        <v>0.0</v>
      </c>
      <c r="CC82" s="4">
        <v>0.0</v>
      </c>
      <c r="CD82" s="4">
        <v>0.0</v>
      </c>
      <c r="CE82" s="4">
        <v>0.0</v>
      </c>
      <c r="CF82" s="4">
        <v>0.0</v>
      </c>
      <c r="CG82" s="4">
        <v>0.0</v>
      </c>
      <c r="CH82" s="4">
        <v>0.0</v>
      </c>
      <c r="CI82" s="6">
        <v>68.0</v>
      </c>
      <c r="CJ82" s="6">
        <v>22.0</v>
      </c>
      <c r="CK82" s="6">
        <v>90.0</v>
      </c>
      <c r="CL82" s="6">
        <v>44.0</v>
      </c>
      <c r="CM82" s="6">
        <v>44.0</v>
      </c>
      <c r="CN82" s="6">
        <v>2.0</v>
      </c>
      <c r="CO82" s="6">
        <v>14.0</v>
      </c>
      <c r="CP82" s="6">
        <v>49.0</v>
      </c>
      <c r="CQ82" s="6">
        <v>38.0</v>
      </c>
      <c r="CR82" s="6">
        <v>14.0</v>
      </c>
      <c r="CS82" s="6">
        <v>0.0</v>
      </c>
      <c r="CT82" s="6">
        <v>11.0</v>
      </c>
      <c r="CU82" s="4">
        <f t="shared" si="2"/>
        <v>4626</v>
      </c>
      <c r="CV82" s="4">
        <v>475.0</v>
      </c>
      <c r="CW82" s="4">
        <v>0.0</v>
      </c>
      <c r="CX82" s="4">
        <f t="shared" si="3"/>
        <v>475</v>
      </c>
    </row>
    <row r="83">
      <c r="A83" s="4">
        <v>82.0</v>
      </c>
      <c r="B83" s="12" t="s">
        <v>237</v>
      </c>
      <c r="C83" s="4" t="s">
        <v>238</v>
      </c>
      <c r="D83" s="4" t="s">
        <v>139</v>
      </c>
      <c r="E83" s="4">
        <v>2025.0</v>
      </c>
      <c r="F83" s="4">
        <v>12.14</v>
      </c>
      <c r="G83" s="4">
        <v>221.0</v>
      </c>
      <c r="H83" s="4">
        <v>751.0</v>
      </c>
      <c r="I83" s="4">
        <v>751.0</v>
      </c>
      <c r="J83" s="4">
        <v>751.0</v>
      </c>
      <c r="K83" s="4">
        <v>751.0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  <c r="T83" s="4">
        <v>320.0</v>
      </c>
      <c r="U83" s="4">
        <v>432.0</v>
      </c>
      <c r="V83" s="4">
        <v>0.0</v>
      </c>
      <c r="W83" s="4">
        <v>0.0</v>
      </c>
      <c r="X83" s="4">
        <v>0.0</v>
      </c>
      <c r="Y83" s="4">
        <v>0.0</v>
      </c>
      <c r="Z83" s="4">
        <v>0.0</v>
      </c>
      <c r="AA83" s="4">
        <v>0.0</v>
      </c>
      <c r="AB83" s="4">
        <v>0.0</v>
      </c>
      <c r="AC83" s="4">
        <v>0.0</v>
      </c>
      <c r="AD83" s="4">
        <v>0.0</v>
      </c>
      <c r="AE83" s="4">
        <v>0.0</v>
      </c>
      <c r="AF83" s="4">
        <v>0.0</v>
      </c>
      <c r="AG83" s="4">
        <v>0.0</v>
      </c>
      <c r="AH83" s="4">
        <v>0.0</v>
      </c>
      <c r="AI83" s="4">
        <v>0.0</v>
      </c>
      <c r="AJ83" s="4">
        <v>0.0</v>
      </c>
      <c r="AK83" s="4">
        <v>0.0</v>
      </c>
      <c r="AL83" s="4">
        <f t="shared" si="1"/>
        <v>3756</v>
      </c>
      <c r="AM83" s="4">
        <v>2150.0</v>
      </c>
      <c r="AN83" s="4">
        <v>829.0</v>
      </c>
      <c r="AO83" s="4">
        <v>2979.0</v>
      </c>
      <c r="AP83" s="4">
        <v>1258.0</v>
      </c>
      <c r="AQ83" s="4">
        <v>1686.0</v>
      </c>
      <c r="AR83" s="4">
        <v>35.0</v>
      </c>
      <c r="AS83" s="4">
        <v>414.0</v>
      </c>
      <c r="AT83" s="4">
        <v>1689.0</v>
      </c>
      <c r="AU83" s="4">
        <v>251.0</v>
      </c>
      <c r="AV83" s="4">
        <v>1832.0</v>
      </c>
      <c r="AW83" s="4">
        <v>16.0</v>
      </c>
      <c r="AX83" s="4">
        <v>4.0</v>
      </c>
      <c r="AY83" s="4">
        <v>0.0</v>
      </c>
      <c r="AZ83" s="4">
        <v>0.0</v>
      </c>
      <c r="BA83" s="4">
        <v>0.0</v>
      </c>
      <c r="BB83" s="4">
        <v>0.0</v>
      </c>
      <c r="BC83" s="4">
        <v>0.0</v>
      </c>
      <c r="BD83" s="4">
        <v>0.0</v>
      </c>
      <c r="BE83" s="4">
        <v>0.0</v>
      </c>
      <c r="BF83" s="4">
        <v>0.0</v>
      </c>
      <c r="BG83" s="4">
        <v>0.0</v>
      </c>
      <c r="BH83" s="4">
        <v>0.0</v>
      </c>
      <c r="BI83" s="4">
        <v>0.0</v>
      </c>
      <c r="BJ83" s="4">
        <v>0.0</v>
      </c>
      <c r="BK83" s="4">
        <v>173.0</v>
      </c>
      <c r="BL83" s="4">
        <v>117.0</v>
      </c>
      <c r="BM83" s="4">
        <v>290.0</v>
      </c>
      <c r="BN83" s="4">
        <v>47.0</v>
      </c>
      <c r="BO83" s="4">
        <v>243.0</v>
      </c>
      <c r="BP83" s="4">
        <v>0.0</v>
      </c>
      <c r="BQ83" s="4">
        <v>52.0</v>
      </c>
      <c r="BR83" s="4">
        <v>172.0</v>
      </c>
      <c r="BS83" s="4">
        <v>115.0</v>
      </c>
      <c r="BT83" s="4">
        <v>106.0</v>
      </c>
      <c r="BU83" s="4">
        <v>0.0</v>
      </c>
      <c r="BV83" s="4">
        <v>3.0</v>
      </c>
      <c r="BW83" s="4">
        <v>0.0</v>
      </c>
      <c r="BX83" s="4">
        <v>0.0</v>
      </c>
      <c r="BY83" s="4">
        <v>0.0</v>
      </c>
      <c r="BZ83" s="4">
        <v>0.0</v>
      </c>
      <c r="CA83" s="4">
        <v>0.0</v>
      </c>
      <c r="CB83" s="4">
        <v>0.0</v>
      </c>
      <c r="CC83" s="4">
        <v>0.0</v>
      </c>
      <c r="CD83" s="4">
        <v>0.0</v>
      </c>
      <c r="CE83" s="4">
        <v>0.0</v>
      </c>
      <c r="CF83" s="4">
        <v>0.0</v>
      </c>
      <c r="CG83" s="4">
        <v>0.0</v>
      </c>
      <c r="CH83" s="4">
        <v>0.0</v>
      </c>
      <c r="CI83" s="4">
        <v>0.0</v>
      </c>
      <c r="CJ83" s="4">
        <v>0.0</v>
      </c>
      <c r="CK83" s="4">
        <v>0.0</v>
      </c>
      <c r="CL83" s="4">
        <v>0.0</v>
      </c>
      <c r="CM83" s="4">
        <v>0.0</v>
      </c>
      <c r="CN83" s="4">
        <v>0.0</v>
      </c>
      <c r="CO83" s="4">
        <v>0.0</v>
      </c>
      <c r="CP83" s="4">
        <v>0.0</v>
      </c>
      <c r="CQ83" s="4">
        <v>0.0</v>
      </c>
      <c r="CR83" s="4">
        <v>0.0</v>
      </c>
      <c r="CS83" s="4">
        <v>0.0</v>
      </c>
      <c r="CT83" s="4">
        <v>0.0</v>
      </c>
      <c r="CU83" s="4">
        <f t="shared" si="2"/>
        <v>3269</v>
      </c>
      <c r="CV83" s="4">
        <v>251.0</v>
      </c>
      <c r="CW83" s="4">
        <v>27.0</v>
      </c>
      <c r="CX83" s="4">
        <f t="shared" si="3"/>
        <v>278</v>
      </c>
    </row>
    <row r="84">
      <c r="A84" s="4">
        <v>83.0</v>
      </c>
      <c r="B84" s="12" t="s">
        <v>239</v>
      </c>
      <c r="C84" s="4" t="s">
        <v>240</v>
      </c>
      <c r="D84" s="4" t="s">
        <v>139</v>
      </c>
      <c r="E84" s="4">
        <v>2025.0</v>
      </c>
      <c r="F84" s="4">
        <v>6.44</v>
      </c>
      <c r="G84" s="4">
        <v>106.0</v>
      </c>
      <c r="H84" s="4">
        <v>172.0</v>
      </c>
      <c r="I84" s="4">
        <v>175.0</v>
      </c>
      <c r="J84" s="4">
        <v>165.0</v>
      </c>
      <c r="K84" s="4">
        <v>153.0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  <c r="T84" s="4">
        <v>125.0</v>
      </c>
      <c r="U84" s="4">
        <v>125.0</v>
      </c>
      <c r="V84" s="4">
        <v>0.0</v>
      </c>
      <c r="W84" s="4">
        <v>0.0</v>
      </c>
      <c r="X84" s="4">
        <v>0.0</v>
      </c>
      <c r="Y84" s="4">
        <v>0.0</v>
      </c>
      <c r="Z84" s="4">
        <v>0.0</v>
      </c>
      <c r="AA84" s="4">
        <v>0.0</v>
      </c>
      <c r="AB84" s="4">
        <v>0.0</v>
      </c>
      <c r="AC84" s="4">
        <v>0.0</v>
      </c>
      <c r="AD84" s="4">
        <v>0.0</v>
      </c>
      <c r="AE84" s="4">
        <v>0.0</v>
      </c>
      <c r="AF84" s="4">
        <v>0.0</v>
      </c>
      <c r="AG84" s="4">
        <v>0.0</v>
      </c>
      <c r="AH84" s="4">
        <v>0.0</v>
      </c>
      <c r="AI84" s="4">
        <v>0.0</v>
      </c>
      <c r="AJ84" s="4">
        <v>0.0</v>
      </c>
      <c r="AK84" s="4">
        <v>0.0</v>
      </c>
      <c r="AL84" s="4">
        <f t="shared" si="1"/>
        <v>915</v>
      </c>
      <c r="AM84" s="4">
        <v>485.0</v>
      </c>
      <c r="AN84" s="4">
        <v>155.0</v>
      </c>
      <c r="AO84" s="4">
        <v>640.0</v>
      </c>
      <c r="AP84" s="4">
        <v>290.0</v>
      </c>
      <c r="AQ84" s="4">
        <v>323.0</v>
      </c>
      <c r="AR84" s="4">
        <v>27.0</v>
      </c>
      <c r="AS84" s="4">
        <v>130.0</v>
      </c>
      <c r="AT84" s="4">
        <v>430.0</v>
      </c>
      <c r="AU84" s="4">
        <v>7.0</v>
      </c>
      <c r="AV84" s="4">
        <v>460.0</v>
      </c>
      <c r="AW84" s="4">
        <v>3.0</v>
      </c>
      <c r="AX84" s="4">
        <v>90.0</v>
      </c>
      <c r="AY84" s="4">
        <v>0.0</v>
      </c>
      <c r="AZ84" s="4">
        <v>0.0</v>
      </c>
      <c r="BA84" s="4">
        <v>0.0</v>
      </c>
      <c r="BB84" s="4">
        <v>0.0</v>
      </c>
      <c r="BC84" s="4">
        <v>0.0</v>
      </c>
      <c r="BD84" s="4">
        <v>0.0</v>
      </c>
      <c r="BE84" s="4">
        <v>0.0</v>
      </c>
      <c r="BF84" s="4">
        <v>0.0</v>
      </c>
      <c r="BG84" s="4">
        <v>0.0</v>
      </c>
      <c r="BH84" s="4">
        <v>0.0</v>
      </c>
      <c r="BI84" s="4">
        <v>0.0</v>
      </c>
      <c r="BJ84" s="4">
        <v>0.0</v>
      </c>
      <c r="BK84" s="4">
        <v>23.0</v>
      </c>
      <c r="BL84" s="4">
        <v>14.0</v>
      </c>
      <c r="BM84" s="4">
        <v>37.0</v>
      </c>
      <c r="BN84" s="4">
        <v>19.0</v>
      </c>
      <c r="BO84" s="4">
        <v>17.0</v>
      </c>
      <c r="BP84" s="4">
        <v>1.0</v>
      </c>
      <c r="BQ84" s="4">
        <v>7.0</v>
      </c>
      <c r="BR84" s="4">
        <v>27.0</v>
      </c>
      <c r="BS84" s="4">
        <v>11.0</v>
      </c>
      <c r="BT84" s="4">
        <v>23.0</v>
      </c>
      <c r="BU84" s="4">
        <v>0.0</v>
      </c>
      <c r="BV84" s="4">
        <v>0.0</v>
      </c>
      <c r="BW84" s="4">
        <v>0.0</v>
      </c>
      <c r="BX84" s="4">
        <v>0.0</v>
      </c>
      <c r="BY84" s="4">
        <v>0.0</v>
      </c>
      <c r="BZ84" s="4">
        <v>0.0</v>
      </c>
      <c r="CA84" s="4">
        <v>0.0</v>
      </c>
      <c r="CB84" s="4">
        <v>0.0</v>
      </c>
      <c r="CC84" s="4">
        <v>0.0</v>
      </c>
      <c r="CD84" s="4">
        <v>0.0</v>
      </c>
      <c r="CE84" s="4">
        <v>0.0</v>
      </c>
      <c r="CF84" s="4">
        <v>0.0</v>
      </c>
      <c r="CG84" s="4">
        <v>0.0</v>
      </c>
      <c r="CH84" s="4">
        <v>0.0</v>
      </c>
      <c r="CI84" s="4">
        <v>0.0</v>
      </c>
      <c r="CJ84" s="4">
        <v>0.0</v>
      </c>
      <c r="CK84" s="4">
        <v>0.0</v>
      </c>
      <c r="CL84" s="4">
        <v>0.0</v>
      </c>
      <c r="CM84" s="4">
        <v>0.0</v>
      </c>
      <c r="CN84" s="4">
        <v>0.0</v>
      </c>
      <c r="CO84" s="4">
        <v>0.0</v>
      </c>
      <c r="CP84" s="4">
        <v>0.0</v>
      </c>
      <c r="CQ84" s="4">
        <v>0.0</v>
      </c>
      <c r="CR84" s="4">
        <v>0.0</v>
      </c>
      <c r="CS84" s="4">
        <v>0.0</v>
      </c>
      <c r="CT84" s="4">
        <v>0.0</v>
      </c>
      <c r="CU84" s="4">
        <f t="shared" si="2"/>
        <v>677</v>
      </c>
      <c r="CV84" s="4">
        <v>163.0</v>
      </c>
      <c r="CW84" s="4">
        <v>105.0</v>
      </c>
      <c r="CX84" s="4">
        <f t="shared" si="3"/>
        <v>268</v>
      </c>
    </row>
    <row r="85">
      <c r="A85" s="4">
        <v>84.0</v>
      </c>
      <c r="B85" s="12" t="s">
        <v>241</v>
      </c>
      <c r="C85" s="4" t="s">
        <v>216</v>
      </c>
      <c r="D85" s="4" t="s">
        <v>118</v>
      </c>
      <c r="E85" s="4">
        <v>2025.0</v>
      </c>
      <c r="F85" s="4">
        <v>14.05</v>
      </c>
      <c r="G85" s="4">
        <v>442.0</v>
      </c>
      <c r="H85" s="4">
        <v>1320.0</v>
      </c>
      <c r="I85" s="4">
        <v>1320.0</v>
      </c>
      <c r="J85" s="4">
        <v>1200.0</v>
      </c>
      <c r="K85" s="4">
        <v>1260.0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0.0</v>
      </c>
      <c r="S85" s="4">
        <v>0.0</v>
      </c>
      <c r="T85" s="4">
        <v>174.0</v>
      </c>
      <c r="U85" s="4">
        <v>183.0</v>
      </c>
      <c r="V85" s="4">
        <v>0.0</v>
      </c>
      <c r="W85" s="4">
        <v>0.0</v>
      </c>
      <c r="X85" s="4">
        <v>0.0</v>
      </c>
      <c r="Y85" s="4">
        <v>0.0</v>
      </c>
      <c r="Z85" s="4">
        <v>0.0</v>
      </c>
      <c r="AA85" s="4">
        <v>0.0</v>
      </c>
      <c r="AB85" s="4">
        <v>0.0</v>
      </c>
      <c r="AC85" s="4">
        <v>0.0</v>
      </c>
      <c r="AD85" s="4">
        <v>0.0</v>
      </c>
      <c r="AE85" s="4">
        <v>0.0</v>
      </c>
      <c r="AF85" s="4">
        <v>0.0</v>
      </c>
      <c r="AG85" s="4">
        <v>0.0</v>
      </c>
      <c r="AH85" s="4">
        <v>0.0</v>
      </c>
      <c r="AI85" s="4">
        <v>0.0</v>
      </c>
      <c r="AJ85" s="4">
        <v>0.0</v>
      </c>
      <c r="AK85" s="4">
        <v>0.0</v>
      </c>
      <c r="AL85" s="4">
        <f t="shared" si="1"/>
        <v>5457</v>
      </c>
      <c r="AM85" s="4">
        <v>3094.0</v>
      </c>
      <c r="AN85" s="4">
        <v>1641.0</v>
      </c>
      <c r="AO85" s="4">
        <v>4735.0</v>
      </c>
      <c r="AP85" s="4">
        <v>1335.0</v>
      </c>
      <c r="AQ85" s="4">
        <v>2553.0</v>
      </c>
      <c r="AR85" s="4">
        <v>847.0</v>
      </c>
      <c r="AS85" s="4">
        <v>115.0</v>
      </c>
      <c r="AT85" s="4">
        <v>1735.0</v>
      </c>
      <c r="AU85" s="4">
        <v>1215.0</v>
      </c>
      <c r="AV85" s="4">
        <v>95.0</v>
      </c>
      <c r="AW85" s="4">
        <v>20.0</v>
      </c>
      <c r="AX85" s="4">
        <v>520.0</v>
      </c>
      <c r="AY85" s="4">
        <v>0.0</v>
      </c>
      <c r="AZ85" s="4">
        <v>0.0</v>
      </c>
      <c r="BA85" s="4">
        <v>0.0</v>
      </c>
      <c r="BB85" s="4">
        <v>0.0</v>
      </c>
      <c r="BC85" s="4">
        <v>0.0</v>
      </c>
      <c r="BD85" s="4">
        <v>0.0</v>
      </c>
      <c r="BE85" s="4">
        <v>0.0</v>
      </c>
      <c r="BF85" s="4">
        <v>0.0</v>
      </c>
      <c r="BG85" s="4">
        <v>0.0</v>
      </c>
      <c r="BH85" s="4">
        <v>0.0</v>
      </c>
      <c r="BI85" s="4">
        <v>0.0</v>
      </c>
      <c r="BJ85" s="4">
        <v>0.0</v>
      </c>
      <c r="BK85" s="4">
        <v>81.0</v>
      </c>
      <c r="BL85" s="4">
        <v>54.0</v>
      </c>
      <c r="BM85" s="4">
        <v>135.0</v>
      </c>
      <c r="BN85" s="4">
        <v>53.0</v>
      </c>
      <c r="BO85" s="4">
        <v>71.0</v>
      </c>
      <c r="BP85" s="4">
        <v>11.0</v>
      </c>
      <c r="BQ85" s="4">
        <v>40.0</v>
      </c>
      <c r="BR85" s="4">
        <v>54.0</v>
      </c>
      <c r="BS85" s="4">
        <v>38.0</v>
      </c>
      <c r="BT85" s="4">
        <v>9.0</v>
      </c>
      <c r="BU85" s="4">
        <v>4.0</v>
      </c>
      <c r="BV85" s="4">
        <v>43.0</v>
      </c>
      <c r="BW85" s="4">
        <v>0.0</v>
      </c>
      <c r="BX85" s="4">
        <v>0.0</v>
      </c>
      <c r="BY85" s="4">
        <v>0.0</v>
      </c>
      <c r="BZ85" s="4">
        <v>0.0</v>
      </c>
      <c r="CA85" s="4">
        <v>0.0</v>
      </c>
      <c r="CB85" s="4">
        <v>0.0</v>
      </c>
      <c r="CC85" s="4">
        <v>0.0</v>
      </c>
      <c r="CD85" s="4">
        <v>0.0</v>
      </c>
      <c r="CE85" s="4">
        <v>0.0</v>
      </c>
      <c r="CF85" s="4">
        <v>0.0</v>
      </c>
      <c r="CG85" s="4">
        <v>0.0</v>
      </c>
      <c r="CH85" s="4">
        <v>0.0</v>
      </c>
      <c r="CI85" s="4">
        <v>0.0</v>
      </c>
      <c r="CJ85" s="4">
        <v>0.0</v>
      </c>
      <c r="CK85" s="4">
        <v>0.0</v>
      </c>
      <c r="CL85" s="4">
        <v>0.0</v>
      </c>
      <c r="CM85" s="4">
        <v>0.0</v>
      </c>
      <c r="CN85" s="4">
        <v>0.0</v>
      </c>
      <c r="CO85" s="4">
        <v>0.0</v>
      </c>
      <c r="CP85" s="4">
        <v>0.0</v>
      </c>
      <c r="CQ85" s="4">
        <v>0.0</v>
      </c>
      <c r="CR85" s="4">
        <v>0.0</v>
      </c>
      <c r="CS85" s="4">
        <v>0.0</v>
      </c>
      <c r="CT85" s="4">
        <v>0.0</v>
      </c>
      <c r="CU85" s="4">
        <f t="shared" si="2"/>
        <v>4870</v>
      </c>
      <c r="CV85" s="4">
        <v>225.0</v>
      </c>
      <c r="CW85" s="4">
        <v>18.0</v>
      </c>
      <c r="CX85" s="4">
        <f t="shared" si="3"/>
        <v>243</v>
      </c>
    </row>
    <row r="86">
      <c r="A86" s="4">
        <v>85.0</v>
      </c>
      <c r="B86" s="12" t="s">
        <v>242</v>
      </c>
      <c r="C86" s="4" t="s">
        <v>243</v>
      </c>
      <c r="D86" s="4" t="s">
        <v>139</v>
      </c>
      <c r="E86" s="4">
        <v>2025.0</v>
      </c>
      <c r="F86" s="4">
        <v>15.19</v>
      </c>
      <c r="G86" s="4">
        <v>201.0</v>
      </c>
      <c r="H86" s="4">
        <v>1161.0</v>
      </c>
      <c r="I86" s="4">
        <v>1161.0</v>
      </c>
      <c r="J86" s="4">
        <v>1157.0</v>
      </c>
      <c r="K86" s="4">
        <v>1158.0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  <c r="T86" s="4">
        <v>473.0</v>
      </c>
      <c r="U86" s="4">
        <v>498.0</v>
      </c>
      <c r="V86" s="4">
        <v>0.0</v>
      </c>
      <c r="W86" s="4">
        <v>0.0</v>
      </c>
      <c r="X86" s="4">
        <v>0.0</v>
      </c>
      <c r="Y86" s="4">
        <v>0.0</v>
      </c>
      <c r="Z86" s="4">
        <v>0.0</v>
      </c>
      <c r="AA86" s="4">
        <v>0.0</v>
      </c>
      <c r="AB86" s="4">
        <v>0.0</v>
      </c>
      <c r="AC86" s="4">
        <v>0.0</v>
      </c>
      <c r="AD86" s="4">
        <v>0.0</v>
      </c>
      <c r="AE86" s="4">
        <v>0.0</v>
      </c>
      <c r="AF86" s="4">
        <v>0.0</v>
      </c>
      <c r="AG86" s="4">
        <v>0.0</v>
      </c>
      <c r="AH86" s="4">
        <v>0.0</v>
      </c>
      <c r="AI86" s="4">
        <v>0.0</v>
      </c>
      <c r="AJ86" s="4">
        <v>0.0</v>
      </c>
      <c r="AK86" s="4">
        <v>0.0</v>
      </c>
      <c r="AL86" s="4">
        <f t="shared" si="1"/>
        <v>5608</v>
      </c>
      <c r="AM86" s="4">
        <v>3642.0</v>
      </c>
      <c r="AN86" s="4">
        <v>940.0</v>
      </c>
      <c r="AO86" s="4">
        <v>4582.0</v>
      </c>
      <c r="AP86" s="4">
        <v>2182.0</v>
      </c>
      <c r="AQ86" s="4">
        <v>2351.0</v>
      </c>
      <c r="AR86" s="4">
        <v>49.0</v>
      </c>
      <c r="AS86" s="4">
        <v>457.0</v>
      </c>
      <c r="AT86" s="4">
        <v>2382.0</v>
      </c>
      <c r="AU86" s="4">
        <v>468.0</v>
      </c>
      <c r="AV86" s="4">
        <v>2208.0</v>
      </c>
      <c r="AW86" s="4">
        <v>87.0</v>
      </c>
      <c r="AX86" s="4">
        <v>76.0</v>
      </c>
      <c r="AY86" s="4">
        <v>0.0</v>
      </c>
      <c r="AZ86" s="4">
        <v>0.0</v>
      </c>
      <c r="BA86" s="4">
        <v>0.0</v>
      </c>
      <c r="BB86" s="4">
        <v>0.0</v>
      </c>
      <c r="BC86" s="4">
        <v>0.0</v>
      </c>
      <c r="BD86" s="4">
        <v>0.0</v>
      </c>
      <c r="BE86" s="4">
        <v>0.0</v>
      </c>
      <c r="BF86" s="4">
        <v>0.0</v>
      </c>
      <c r="BG86" s="4">
        <v>0.0</v>
      </c>
      <c r="BH86" s="4">
        <v>0.0</v>
      </c>
      <c r="BI86" s="4">
        <v>0.0</v>
      </c>
      <c r="BJ86" s="4">
        <v>0.0</v>
      </c>
      <c r="BK86" s="4">
        <v>395.0</v>
      </c>
      <c r="BL86" s="4">
        <v>87.0</v>
      </c>
      <c r="BM86" s="4">
        <v>482.0</v>
      </c>
      <c r="BN86" s="4">
        <v>64.0</v>
      </c>
      <c r="BO86" s="4">
        <v>418.0</v>
      </c>
      <c r="BP86" s="4">
        <v>0.0</v>
      </c>
      <c r="BQ86" s="4">
        <v>53.0</v>
      </c>
      <c r="BR86" s="4">
        <v>257.0</v>
      </c>
      <c r="BS86" s="4">
        <v>102.0</v>
      </c>
      <c r="BT86" s="4">
        <v>0.0</v>
      </c>
      <c r="BU86" s="4">
        <v>0.0</v>
      </c>
      <c r="BV86" s="4">
        <v>208.0</v>
      </c>
      <c r="BW86" s="4">
        <v>0.0</v>
      </c>
      <c r="BX86" s="4">
        <v>0.0</v>
      </c>
      <c r="BY86" s="4">
        <v>0.0</v>
      </c>
      <c r="BZ86" s="4">
        <v>0.0</v>
      </c>
      <c r="CA86" s="4">
        <v>0.0</v>
      </c>
      <c r="CB86" s="4">
        <v>0.0</v>
      </c>
      <c r="CC86" s="4">
        <v>0.0</v>
      </c>
      <c r="CD86" s="4">
        <v>0.0</v>
      </c>
      <c r="CE86" s="4">
        <v>0.0</v>
      </c>
      <c r="CF86" s="4">
        <v>0.0</v>
      </c>
      <c r="CG86" s="4">
        <v>0.0</v>
      </c>
      <c r="CH86" s="4">
        <v>0.0</v>
      </c>
      <c r="CI86" s="4">
        <v>0.0</v>
      </c>
      <c r="CJ86" s="4">
        <v>0.0</v>
      </c>
      <c r="CK86" s="4">
        <v>0.0</v>
      </c>
      <c r="CL86" s="4">
        <v>0.0</v>
      </c>
      <c r="CM86" s="4">
        <v>0.0</v>
      </c>
      <c r="CN86" s="4">
        <v>0.0</v>
      </c>
      <c r="CO86" s="4">
        <v>0.0</v>
      </c>
      <c r="CP86" s="4">
        <v>0.0</v>
      </c>
      <c r="CQ86" s="4">
        <v>0.0</v>
      </c>
      <c r="CR86" s="4">
        <v>0.0</v>
      </c>
      <c r="CS86" s="4">
        <v>0.0</v>
      </c>
      <c r="CT86" s="4">
        <v>0.0</v>
      </c>
      <c r="CU86" s="4">
        <f t="shared" si="2"/>
        <v>5064</v>
      </c>
      <c r="CV86" s="4">
        <v>256.0</v>
      </c>
      <c r="CW86" s="4">
        <v>166.0</v>
      </c>
      <c r="CX86" s="4">
        <f t="shared" si="3"/>
        <v>422</v>
      </c>
    </row>
    <row r="87">
      <c r="A87" s="4">
        <v>86.0</v>
      </c>
      <c r="B87" s="12" t="s">
        <v>244</v>
      </c>
      <c r="C87" s="4" t="s">
        <v>245</v>
      </c>
      <c r="D87" s="4" t="s">
        <v>139</v>
      </c>
      <c r="E87" s="4">
        <v>2025.0</v>
      </c>
      <c r="F87" s="4">
        <v>13.82</v>
      </c>
      <c r="G87" s="4">
        <v>272.0</v>
      </c>
      <c r="H87" s="4">
        <v>1119.0</v>
      </c>
      <c r="I87" s="4">
        <v>1119.0</v>
      </c>
      <c r="J87" s="4">
        <v>1118.0</v>
      </c>
      <c r="K87" s="4">
        <v>1118.0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  <c r="T87" s="4">
        <v>156.0</v>
      </c>
      <c r="U87" s="4">
        <v>187.0</v>
      </c>
      <c r="V87" s="4">
        <v>0.0</v>
      </c>
      <c r="W87" s="4">
        <v>0.0</v>
      </c>
      <c r="X87" s="4">
        <v>0.0</v>
      </c>
      <c r="Y87" s="4">
        <v>0.0</v>
      </c>
      <c r="Z87" s="4">
        <v>19.0</v>
      </c>
      <c r="AA87" s="4">
        <v>19.0</v>
      </c>
      <c r="AB87" s="4">
        <v>19.0</v>
      </c>
      <c r="AC87" s="4">
        <v>0.0</v>
      </c>
      <c r="AD87" s="4">
        <v>0.0</v>
      </c>
      <c r="AE87" s="4">
        <v>0.0</v>
      </c>
      <c r="AF87" s="4">
        <v>0.0</v>
      </c>
      <c r="AG87" s="4">
        <v>0.0</v>
      </c>
      <c r="AH87" s="4">
        <v>0.0</v>
      </c>
      <c r="AI87" s="4">
        <v>0.0</v>
      </c>
      <c r="AJ87" s="4">
        <v>0.0</v>
      </c>
      <c r="AK87" s="4">
        <v>0.0</v>
      </c>
      <c r="AL87" s="4">
        <f t="shared" si="1"/>
        <v>4874</v>
      </c>
      <c r="AM87" s="4">
        <v>3266.0</v>
      </c>
      <c r="AN87" s="4">
        <v>890.0</v>
      </c>
      <c r="AO87" s="4">
        <v>4156.0</v>
      </c>
      <c r="AP87" s="4">
        <v>2093.0</v>
      </c>
      <c r="AQ87" s="4">
        <v>2057.0</v>
      </c>
      <c r="AR87" s="4">
        <v>6.0</v>
      </c>
      <c r="AS87" s="4">
        <v>761.0</v>
      </c>
      <c r="AT87" s="4">
        <v>2269.0</v>
      </c>
      <c r="AU87" s="4">
        <v>0.0</v>
      </c>
      <c r="AV87" s="4">
        <v>2379.0</v>
      </c>
      <c r="AW87" s="4">
        <v>0.0</v>
      </c>
      <c r="AX87" s="4">
        <v>651.0</v>
      </c>
      <c r="AY87" s="4">
        <v>0.0</v>
      </c>
      <c r="AZ87" s="4">
        <v>0.0</v>
      </c>
      <c r="BA87" s="4">
        <v>0.0</v>
      </c>
      <c r="BB87" s="4">
        <v>0.0</v>
      </c>
      <c r="BC87" s="4">
        <v>0.0</v>
      </c>
      <c r="BD87" s="4">
        <v>0.0</v>
      </c>
      <c r="BE87" s="4">
        <v>0.0</v>
      </c>
      <c r="BF87" s="4">
        <v>0.0</v>
      </c>
      <c r="BG87" s="4">
        <v>0.0</v>
      </c>
      <c r="BH87" s="4">
        <v>0.0</v>
      </c>
      <c r="BI87" s="4">
        <v>0.0</v>
      </c>
      <c r="BJ87" s="4">
        <v>0.0</v>
      </c>
      <c r="BK87" s="4">
        <v>124.0</v>
      </c>
      <c r="BL87" s="4">
        <v>61.0</v>
      </c>
      <c r="BM87" s="4">
        <v>185.0</v>
      </c>
      <c r="BN87" s="4">
        <v>128.0</v>
      </c>
      <c r="BO87" s="4">
        <v>57.0</v>
      </c>
      <c r="BP87" s="4">
        <v>0.0</v>
      </c>
      <c r="BQ87" s="4">
        <v>20.0</v>
      </c>
      <c r="BR87" s="4">
        <v>108.0</v>
      </c>
      <c r="BS87" s="4">
        <v>0.0</v>
      </c>
      <c r="BT87" s="4">
        <v>45.0</v>
      </c>
      <c r="BU87" s="4">
        <v>0.0</v>
      </c>
      <c r="BV87" s="4">
        <v>83.0</v>
      </c>
      <c r="BW87" s="4">
        <v>0.0</v>
      </c>
      <c r="BX87" s="4">
        <v>0.0</v>
      </c>
      <c r="BY87" s="4">
        <v>0.0</v>
      </c>
      <c r="BZ87" s="4">
        <v>0.0</v>
      </c>
      <c r="CA87" s="4">
        <v>0.0</v>
      </c>
      <c r="CB87" s="4">
        <v>0.0</v>
      </c>
      <c r="CC87" s="4">
        <v>0.0</v>
      </c>
      <c r="CD87" s="4">
        <v>0.0</v>
      </c>
      <c r="CE87" s="4">
        <v>0.0</v>
      </c>
      <c r="CF87" s="4">
        <v>0.0</v>
      </c>
      <c r="CG87" s="4">
        <v>0.0</v>
      </c>
      <c r="CH87" s="4">
        <v>0.0</v>
      </c>
      <c r="CI87" s="4">
        <v>33.0</v>
      </c>
      <c r="CJ87" s="4">
        <v>21.0</v>
      </c>
      <c r="CK87" s="4">
        <v>54.0</v>
      </c>
      <c r="CL87" s="4">
        <v>12.0</v>
      </c>
      <c r="CM87" s="4">
        <v>42.0</v>
      </c>
      <c r="CN87" s="4">
        <v>0.0</v>
      </c>
      <c r="CO87" s="4">
        <v>10.0</v>
      </c>
      <c r="CP87" s="4">
        <v>35.0</v>
      </c>
      <c r="CQ87" s="4">
        <v>0.0</v>
      </c>
      <c r="CR87" s="4">
        <v>11.0</v>
      </c>
      <c r="CS87" s="4">
        <v>0.0</v>
      </c>
      <c r="CT87" s="4">
        <v>34.0</v>
      </c>
      <c r="CU87" s="4">
        <f t="shared" si="2"/>
        <v>4395</v>
      </c>
      <c r="CV87" s="4">
        <v>437.0</v>
      </c>
      <c r="CW87" s="4">
        <v>221.0</v>
      </c>
      <c r="CX87" s="4">
        <f t="shared" si="3"/>
        <v>658</v>
      </c>
    </row>
    <row r="88">
      <c r="A88" s="4">
        <v>87.0</v>
      </c>
      <c r="B88" s="12" t="s">
        <v>246</v>
      </c>
      <c r="C88" s="4" t="s">
        <v>103</v>
      </c>
      <c r="D88" s="4" t="s">
        <v>118</v>
      </c>
      <c r="E88" s="4">
        <v>2025.0</v>
      </c>
      <c r="F88" s="4">
        <v>15.5</v>
      </c>
      <c r="G88" s="4">
        <v>674.0</v>
      </c>
      <c r="H88" s="4">
        <v>2364.0</v>
      </c>
      <c r="I88" s="4">
        <v>2364.0</v>
      </c>
      <c r="J88" s="4">
        <v>2220.0</v>
      </c>
      <c r="K88" s="4">
        <v>2220.0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  <c r="T88" s="4">
        <v>216.0</v>
      </c>
      <c r="U88" s="4">
        <v>216.0</v>
      </c>
      <c r="V88" s="4">
        <v>0.0</v>
      </c>
      <c r="W88" s="4">
        <v>0.0</v>
      </c>
      <c r="X88" s="4">
        <v>0.0</v>
      </c>
      <c r="Y88" s="4">
        <v>0.0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0.0</v>
      </c>
      <c r="AG88" s="4">
        <v>0.0</v>
      </c>
      <c r="AH88" s="4">
        <v>0.0</v>
      </c>
      <c r="AI88" s="4">
        <v>0.0</v>
      </c>
      <c r="AJ88" s="4">
        <v>0.0</v>
      </c>
      <c r="AK88" s="4">
        <v>0.0</v>
      </c>
      <c r="AL88" s="4">
        <f t="shared" si="1"/>
        <v>9600</v>
      </c>
      <c r="AM88" s="4">
        <v>7524.0</v>
      </c>
      <c r="AN88" s="4">
        <v>1938.0</v>
      </c>
      <c r="AO88" s="4">
        <v>9462.0</v>
      </c>
      <c r="AP88" s="4">
        <v>1314.0</v>
      </c>
      <c r="AQ88" s="4">
        <v>8029.0</v>
      </c>
      <c r="AR88" s="4">
        <v>119.0</v>
      </c>
      <c r="AS88" s="4">
        <v>1229.0</v>
      </c>
      <c r="AT88" s="4">
        <v>2393.0</v>
      </c>
      <c r="AU88" s="4">
        <v>0.0</v>
      </c>
      <c r="AV88" s="4">
        <v>2564.0</v>
      </c>
      <c r="AW88" s="4">
        <v>0.0</v>
      </c>
      <c r="AX88" s="4">
        <v>1058.0</v>
      </c>
      <c r="AY88" s="4">
        <v>0.0</v>
      </c>
      <c r="AZ88" s="4">
        <v>0.0</v>
      </c>
      <c r="BA88" s="4">
        <v>0.0</v>
      </c>
      <c r="BB88" s="4">
        <v>0.0</v>
      </c>
      <c r="BC88" s="4">
        <v>0.0</v>
      </c>
      <c r="BD88" s="4">
        <v>0.0</v>
      </c>
      <c r="BE88" s="4">
        <v>0.0</v>
      </c>
      <c r="BF88" s="4">
        <v>0.0</v>
      </c>
      <c r="BG88" s="4">
        <v>0.0</v>
      </c>
      <c r="BH88" s="4">
        <v>0.0</v>
      </c>
      <c r="BI88" s="4">
        <v>0.0</v>
      </c>
      <c r="BJ88" s="4">
        <v>0.0</v>
      </c>
      <c r="BK88" s="4">
        <v>178.0</v>
      </c>
      <c r="BL88" s="4">
        <v>38.0</v>
      </c>
      <c r="BM88" s="4">
        <v>216.0</v>
      </c>
      <c r="BN88" s="4">
        <v>166.0</v>
      </c>
      <c r="BO88" s="4">
        <v>50.0</v>
      </c>
      <c r="BP88" s="4">
        <v>0.0</v>
      </c>
      <c r="BQ88" s="4">
        <v>0.0</v>
      </c>
      <c r="BR88" s="4">
        <v>186.0</v>
      </c>
      <c r="BS88" s="4">
        <v>0.0</v>
      </c>
      <c r="BT88" s="4">
        <v>0.0</v>
      </c>
      <c r="BU88" s="4">
        <v>0.0</v>
      </c>
      <c r="BV88" s="4">
        <v>186.0</v>
      </c>
      <c r="BW88" s="4">
        <v>0.0</v>
      </c>
      <c r="BX88" s="4">
        <v>0.0</v>
      </c>
      <c r="BY88" s="4">
        <v>0.0</v>
      </c>
      <c r="BZ88" s="4">
        <v>0.0</v>
      </c>
      <c r="CA88" s="4">
        <v>0.0</v>
      </c>
      <c r="CB88" s="4">
        <v>0.0</v>
      </c>
      <c r="CC88" s="4">
        <v>0.0</v>
      </c>
      <c r="CD88" s="4">
        <v>0.0</v>
      </c>
      <c r="CE88" s="4">
        <v>0.0</v>
      </c>
      <c r="CF88" s="4">
        <v>0.0</v>
      </c>
      <c r="CG88" s="4">
        <v>0.0</v>
      </c>
      <c r="CH88" s="4">
        <v>0.0</v>
      </c>
      <c r="CI88" s="4">
        <v>0.0</v>
      </c>
      <c r="CJ88" s="4">
        <v>0.0</v>
      </c>
      <c r="CK88" s="4">
        <v>0.0</v>
      </c>
      <c r="CL88" s="4">
        <v>0.0</v>
      </c>
      <c r="CM88" s="4">
        <v>0.0</v>
      </c>
      <c r="CN88" s="4">
        <v>0.0</v>
      </c>
      <c r="CO88" s="4">
        <v>0.0</v>
      </c>
      <c r="CP88" s="4">
        <v>0.0</v>
      </c>
      <c r="CQ88" s="4">
        <v>0.0</v>
      </c>
      <c r="CR88" s="4">
        <v>0.0</v>
      </c>
      <c r="CS88" s="4">
        <v>0.0</v>
      </c>
      <c r="CT88" s="4">
        <v>0.0</v>
      </c>
      <c r="CU88" s="4">
        <f t="shared" si="2"/>
        <v>9678</v>
      </c>
      <c r="CV88" s="4">
        <v>179.0</v>
      </c>
      <c r="CW88" s="4">
        <v>407.0</v>
      </c>
      <c r="CX88" s="4">
        <f t="shared" si="3"/>
        <v>586</v>
      </c>
    </row>
    <row r="89">
      <c r="A89" s="4">
        <v>88.0</v>
      </c>
      <c r="B89" s="12" t="s">
        <v>247</v>
      </c>
      <c r="C89" s="4" t="s">
        <v>248</v>
      </c>
      <c r="D89" s="4" t="s">
        <v>2</v>
      </c>
      <c r="E89" s="4">
        <v>2025.0</v>
      </c>
      <c r="F89" s="4">
        <v>11.5</v>
      </c>
      <c r="G89" s="4">
        <v>262.0</v>
      </c>
      <c r="H89" s="4">
        <v>546.0</v>
      </c>
      <c r="I89" s="4">
        <v>530.0</v>
      </c>
      <c r="J89" s="4">
        <v>530.0</v>
      </c>
      <c r="K89" s="4">
        <v>530.0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  <c r="T89" s="4">
        <v>502.0</v>
      </c>
      <c r="U89" s="4">
        <v>510.0</v>
      </c>
      <c r="V89" s="4">
        <v>0.0</v>
      </c>
      <c r="W89" s="4">
        <v>0.0</v>
      </c>
      <c r="X89" s="4">
        <v>0.0</v>
      </c>
      <c r="Y89" s="4">
        <v>0.0</v>
      </c>
      <c r="Z89" s="4">
        <v>0.0</v>
      </c>
      <c r="AA89" s="4">
        <v>0.0</v>
      </c>
      <c r="AB89" s="4">
        <v>0.0</v>
      </c>
      <c r="AC89" s="4">
        <v>0.0</v>
      </c>
      <c r="AD89" s="4">
        <v>0.0</v>
      </c>
      <c r="AE89" s="4">
        <v>0.0</v>
      </c>
      <c r="AF89" s="4">
        <v>0.0</v>
      </c>
      <c r="AG89" s="4">
        <v>0.0</v>
      </c>
      <c r="AH89" s="4">
        <v>0.0</v>
      </c>
      <c r="AI89" s="4">
        <v>0.0</v>
      </c>
      <c r="AJ89" s="4">
        <v>0.0</v>
      </c>
      <c r="AK89" s="4">
        <v>0.0</v>
      </c>
      <c r="AL89" s="4">
        <f t="shared" si="1"/>
        <v>3148</v>
      </c>
      <c r="AM89" s="4">
        <v>965.0</v>
      </c>
      <c r="AN89" s="4">
        <v>1171.0</v>
      </c>
      <c r="AO89" s="4">
        <v>2136.0</v>
      </c>
      <c r="AP89" s="4">
        <v>455.0</v>
      </c>
      <c r="AQ89" s="4">
        <v>1388.0</v>
      </c>
      <c r="AR89" s="4">
        <v>293.0</v>
      </c>
      <c r="AS89" s="4">
        <v>467.0</v>
      </c>
      <c r="AT89" s="4">
        <v>1582.0</v>
      </c>
      <c r="AU89" s="4">
        <v>1039.0</v>
      </c>
      <c r="AV89" s="4">
        <v>943.0</v>
      </c>
      <c r="AW89" s="4">
        <v>67.0</v>
      </c>
      <c r="AX89" s="4">
        <v>0.0</v>
      </c>
      <c r="AY89" s="4">
        <v>0.0</v>
      </c>
      <c r="AZ89" s="4">
        <v>0.0</v>
      </c>
      <c r="BA89" s="4">
        <v>0.0</v>
      </c>
      <c r="BB89" s="4">
        <v>0.0</v>
      </c>
      <c r="BC89" s="4">
        <v>0.0</v>
      </c>
      <c r="BD89" s="4">
        <v>0.0</v>
      </c>
      <c r="BE89" s="4">
        <v>0.0</v>
      </c>
      <c r="BF89" s="4">
        <v>0.0</v>
      </c>
      <c r="BG89" s="4">
        <v>0.0</v>
      </c>
      <c r="BH89" s="4">
        <v>0.0</v>
      </c>
      <c r="BI89" s="4">
        <v>0.0</v>
      </c>
      <c r="BJ89" s="4">
        <v>0.0</v>
      </c>
      <c r="BK89" s="4">
        <v>474.0</v>
      </c>
      <c r="BL89" s="4">
        <v>538.0</v>
      </c>
      <c r="BM89" s="4">
        <v>1012.0</v>
      </c>
      <c r="BN89" s="4">
        <v>575.0</v>
      </c>
      <c r="BO89" s="4">
        <v>405.0</v>
      </c>
      <c r="BP89" s="4">
        <v>32.0</v>
      </c>
      <c r="BQ89" s="4">
        <v>101.0</v>
      </c>
      <c r="BR89" s="4">
        <v>754.0</v>
      </c>
      <c r="BS89" s="4">
        <v>685.0</v>
      </c>
      <c r="BT89" s="4">
        <v>88.0</v>
      </c>
      <c r="BU89" s="4">
        <v>41.0</v>
      </c>
      <c r="BV89" s="4">
        <v>41.0</v>
      </c>
      <c r="BW89" s="4">
        <v>0.0</v>
      </c>
      <c r="BX89" s="4">
        <v>0.0</v>
      </c>
      <c r="BY89" s="4">
        <v>0.0</v>
      </c>
      <c r="BZ89" s="4">
        <v>0.0</v>
      </c>
      <c r="CA89" s="4">
        <v>0.0</v>
      </c>
      <c r="CB89" s="4">
        <v>0.0</v>
      </c>
      <c r="CC89" s="4">
        <v>0.0</v>
      </c>
      <c r="CD89" s="4">
        <v>0.0</v>
      </c>
      <c r="CE89" s="4">
        <v>0.0</v>
      </c>
      <c r="CF89" s="4">
        <v>0.0</v>
      </c>
      <c r="CG89" s="4">
        <v>0.0</v>
      </c>
      <c r="CH89" s="4">
        <v>0.0</v>
      </c>
      <c r="CI89" s="4">
        <v>0.0</v>
      </c>
      <c r="CJ89" s="4">
        <v>0.0</v>
      </c>
      <c r="CK89" s="4">
        <v>0.0</v>
      </c>
      <c r="CL89" s="4">
        <v>0.0</v>
      </c>
      <c r="CM89" s="4">
        <v>0.0</v>
      </c>
      <c r="CN89" s="4">
        <v>0.0</v>
      </c>
      <c r="CO89" s="4">
        <v>0.0</v>
      </c>
      <c r="CP89" s="4">
        <v>0.0</v>
      </c>
      <c r="CQ89" s="4">
        <v>0.0</v>
      </c>
      <c r="CR89" s="4">
        <v>0.0</v>
      </c>
      <c r="CS89" s="4">
        <v>0.0</v>
      </c>
      <c r="CT89" s="4">
        <v>0.0</v>
      </c>
      <c r="CU89" s="4">
        <f t="shared" si="2"/>
        <v>3148</v>
      </c>
      <c r="CV89" s="4">
        <v>97.0</v>
      </c>
      <c r="CW89" s="4">
        <v>41.0</v>
      </c>
      <c r="CX89" s="4">
        <f t="shared" si="3"/>
        <v>138</v>
      </c>
    </row>
    <row r="90">
      <c r="A90" s="4">
        <v>89.0</v>
      </c>
      <c r="B90" s="12" t="s">
        <v>249</v>
      </c>
      <c r="C90" s="4" t="s">
        <v>250</v>
      </c>
      <c r="D90" s="4" t="s">
        <v>146</v>
      </c>
      <c r="E90" s="4">
        <v>2025.0</v>
      </c>
      <c r="F90" s="4">
        <v>13.34</v>
      </c>
      <c r="G90" s="4">
        <v>519.0</v>
      </c>
      <c r="H90" s="4">
        <v>2670.0</v>
      </c>
      <c r="I90" s="4">
        <v>2790.0</v>
      </c>
      <c r="J90" s="4">
        <v>2400.0</v>
      </c>
      <c r="K90" s="4">
        <v>2040.0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0.0</v>
      </c>
      <c r="T90" s="4">
        <v>25.0</v>
      </c>
      <c r="U90" s="4">
        <v>45.0</v>
      </c>
      <c r="V90" s="4">
        <v>0.0</v>
      </c>
      <c r="W90" s="4">
        <v>0.0</v>
      </c>
      <c r="X90" s="4">
        <v>0.0</v>
      </c>
      <c r="Y90" s="4">
        <v>0.0</v>
      </c>
      <c r="Z90" s="4">
        <v>0.0</v>
      </c>
      <c r="AA90" s="4">
        <v>0.0</v>
      </c>
      <c r="AB90" s="4">
        <v>15.0</v>
      </c>
      <c r="AC90" s="4">
        <v>0.0</v>
      </c>
      <c r="AD90" s="4">
        <v>0.0</v>
      </c>
      <c r="AE90" s="4">
        <v>0.0</v>
      </c>
      <c r="AF90" s="4">
        <v>0.0</v>
      </c>
      <c r="AG90" s="4">
        <v>0.0</v>
      </c>
      <c r="AH90" s="4">
        <v>0.0</v>
      </c>
      <c r="AI90" s="4">
        <v>0.0</v>
      </c>
      <c r="AJ90" s="4">
        <v>0.0</v>
      </c>
      <c r="AK90" s="4">
        <v>0.0</v>
      </c>
      <c r="AL90" s="4">
        <f t="shared" si="1"/>
        <v>9985</v>
      </c>
      <c r="AM90" s="4">
        <v>4920.0</v>
      </c>
      <c r="AN90" s="4">
        <v>3420.0</v>
      </c>
      <c r="AO90" s="4">
        <v>8340.0</v>
      </c>
      <c r="AP90" s="4">
        <v>1988.0</v>
      </c>
      <c r="AQ90" s="4">
        <v>6338.0</v>
      </c>
      <c r="AR90" s="4">
        <v>14.0</v>
      </c>
      <c r="AS90" s="4">
        <v>0.0</v>
      </c>
      <c r="AT90" s="4">
        <v>609.0</v>
      </c>
      <c r="AU90" s="4">
        <v>1.0</v>
      </c>
      <c r="AV90" s="4">
        <v>586.0</v>
      </c>
      <c r="AW90" s="4">
        <v>0.0</v>
      </c>
      <c r="AX90" s="4">
        <v>22.0</v>
      </c>
      <c r="AY90" s="4">
        <v>0.0</v>
      </c>
      <c r="AZ90" s="4">
        <v>0.0</v>
      </c>
      <c r="BA90" s="4">
        <v>0.0</v>
      </c>
      <c r="BB90" s="4">
        <v>0.0</v>
      </c>
      <c r="BC90" s="4">
        <v>0.0</v>
      </c>
      <c r="BD90" s="4">
        <v>0.0</v>
      </c>
      <c r="BE90" s="4">
        <v>0.0</v>
      </c>
      <c r="BF90" s="4">
        <v>0.0</v>
      </c>
      <c r="BG90" s="4">
        <v>0.0</v>
      </c>
      <c r="BH90" s="4">
        <v>0.0</v>
      </c>
      <c r="BI90" s="4">
        <v>0.0</v>
      </c>
      <c r="BJ90" s="4">
        <v>0.0</v>
      </c>
      <c r="BK90" s="4">
        <v>24.0</v>
      </c>
      <c r="BL90" s="4">
        <v>13.0</v>
      </c>
      <c r="BM90" s="4">
        <v>37.0</v>
      </c>
      <c r="BN90" s="4">
        <v>17.0</v>
      </c>
      <c r="BO90" s="4">
        <v>19.0</v>
      </c>
      <c r="BP90" s="4">
        <v>1.0</v>
      </c>
      <c r="BQ90" s="4">
        <v>0.0</v>
      </c>
      <c r="BR90" s="4">
        <v>23.0</v>
      </c>
      <c r="BS90" s="4">
        <v>0.0</v>
      </c>
      <c r="BT90" s="4">
        <v>23.0</v>
      </c>
      <c r="BU90" s="4">
        <v>0.0</v>
      </c>
      <c r="BV90" s="4">
        <v>0.0</v>
      </c>
      <c r="BW90" s="4">
        <v>0.0</v>
      </c>
      <c r="BX90" s="4">
        <v>0.0</v>
      </c>
      <c r="BY90" s="4">
        <v>0.0</v>
      </c>
      <c r="BZ90" s="4">
        <v>0.0</v>
      </c>
      <c r="CA90" s="4">
        <v>0.0</v>
      </c>
      <c r="CB90" s="4">
        <v>0.0</v>
      </c>
      <c r="CC90" s="4">
        <v>0.0</v>
      </c>
      <c r="CD90" s="4">
        <v>0.0</v>
      </c>
      <c r="CE90" s="4">
        <v>0.0</v>
      </c>
      <c r="CF90" s="4">
        <v>0.0</v>
      </c>
      <c r="CG90" s="4">
        <v>0.0</v>
      </c>
      <c r="CH90" s="4">
        <v>0.0</v>
      </c>
      <c r="CI90" s="4">
        <v>6.0</v>
      </c>
      <c r="CJ90" s="4">
        <v>2.0</v>
      </c>
      <c r="CK90" s="4">
        <v>8.0</v>
      </c>
      <c r="CL90" s="4">
        <v>7.0</v>
      </c>
      <c r="CM90" s="4">
        <v>1.0</v>
      </c>
      <c r="CN90" s="4">
        <v>0.0</v>
      </c>
      <c r="CO90" s="4">
        <v>0.0</v>
      </c>
      <c r="CP90" s="4">
        <v>0.0</v>
      </c>
      <c r="CQ90" s="4">
        <v>0.0</v>
      </c>
      <c r="CR90" s="4">
        <v>0.0</v>
      </c>
      <c r="CS90" s="4">
        <v>0.0</v>
      </c>
      <c r="CT90" s="4">
        <v>0.0</v>
      </c>
      <c r="CU90" s="4">
        <f t="shared" si="2"/>
        <v>8385</v>
      </c>
      <c r="CV90" s="4">
        <v>125.0</v>
      </c>
      <c r="CW90" s="4">
        <v>178.0</v>
      </c>
      <c r="CX90" s="4">
        <f t="shared" si="3"/>
        <v>303</v>
      </c>
    </row>
    <row r="91">
      <c r="A91" s="4">
        <v>90.0</v>
      </c>
      <c r="B91" s="12" t="s">
        <v>251</v>
      </c>
      <c r="C91" s="4" t="s">
        <v>176</v>
      </c>
      <c r="D91" s="4" t="s">
        <v>2</v>
      </c>
      <c r="E91" s="4">
        <v>2025.0</v>
      </c>
      <c r="F91" s="4">
        <v>14.0</v>
      </c>
      <c r="G91" s="4">
        <v>236.0</v>
      </c>
      <c r="H91" s="4">
        <v>773.0</v>
      </c>
      <c r="I91" s="4">
        <v>713.0</v>
      </c>
      <c r="J91" s="4">
        <v>570.0</v>
      </c>
      <c r="K91" s="4">
        <v>570.0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  <c r="T91" s="4">
        <v>570.0</v>
      </c>
      <c r="U91" s="4">
        <v>486.0</v>
      </c>
      <c r="V91" s="4">
        <v>0.0</v>
      </c>
      <c r="W91" s="4">
        <v>0.0</v>
      </c>
      <c r="X91" s="4">
        <v>0.0</v>
      </c>
      <c r="Y91" s="4">
        <v>0.0</v>
      </c>
      <c r="Z91" s="4">
        <v>0.0</v>
      </c>
      <c r="AA91" s="4">
        <v>0.0</v>
      </c>
      <c r="AB91" s="4">
        <v>0.0</v>
      </c>
      <c r="AC91" s="4">
        <v>0.0</v>
      </c>
      <c r="AD91" s="4">
        <v>0.0</v>
      </c>
      <c r="AE91" s="4">
        <v>0.0</v>
      </c>
      <c r="AF91" s="4">
        <v>0.0</v>
      </c>
      <c r="AG91" s="4">
        <v>0.0</v>
      </c>
      <c r="AH91" s="4">
        <v>0.0</v>
      </c>
      <c r="AI91" s="4">
        <v>0.0</v>
      </c>
      <c r="AJ91" s="4">
        <v>0.0</v>
      </c>
      <c r="AK91" s="4">
        <v>0.0</v>
      </c>
      <c r="AL91" s="4">
        <f t="shared" si="1"/>
        <v>3682</v>
      </c>
      <c r="AM91" s="4">
        <v>2485.0</v>
      </c>
      <c r="AN91" s="4">
        <v>984.0</v>
      </c>
      <c r="AO91" s="4">
        <v>3469.0</v>
      </c>
      <c r="AP91" s="4">
        <v>3174.0</v>
      </c>
      <c r="AQ91" s="4">
        <v>161.0</v>
      </c>
      <c r="AR91" s="4">
        <v>134.0</v>
      </c>
      <c r="AS91" s="4">
        <v>278.0</v>
      </c>
      <c r="AT91" s="4">
        <v>1607.0</v>
      </c>
      <c r="AU91" s="4">
        <v>1379.0</v>
      </c>
      <c r="AV91" s="4">
        <v>342.0</v>
      </c>
      <c r="AW91" s="4">
        <v>164.0</v>
      </c>
      <c r="AX91" s="4">
        <v>0.0</v>
      </c>
      <c r="AY91" s="4">
        <v>0.0</v>
      </c>
      <c r="AZ91" s="4">
        <v>0.0</v>
      </c>
      <c r="BA91" s="4">
        <v>0.0</v>
      </c>
      <c r="BB91" s="4">
        <v>0.0</v>
      </c>
      <c r="BC91" s="4">
        <v>0.0</v>
      </c>
      <c r="BD91" s="4">
        <v>0.0</v>
      </c>
      <c r="BE91" s="4">
        <v>0.0</v>
      </c>
      <c r="BF91" s="4">
        <v>0.0</v>
      </c>
      <c r="BG91" s="4">
        <v>0.0</v>
      </c>
      <c r="BH91" s="4">
        <v>0.0</v>
      </c>
      <c r="BI91" s="4">
        <v>0.0</v>
      </c>
      <c r="BJ91" s="4">
        <v>0.0</v>
      </c>
      <c r="BK91" s="4">
        <v>414.0</v>
      </c>
      <c r="BL91" s="4">
        <v>157.0</v>
      </c>
      <c r="BM91" s="4">
        <v>571.0</v>
      </c>
      <c r="BN91" s="4">
        <v>537.0</v>
      </c>
      <c r="BO91" s="4">
        <v>34.0</v>
      </c>
      <c r="BP91" s="4">
        <v>0.0</v>
      </c>
      <c r="BQ91" s="4">
        <v>30.0</v>
      </c>
      <c r="BR91" s="4">
        <v>297.0</v>
      </c>
      <c r="BS91" s="4">
        <v>261.0</v>
      </c>
      <c r="BT91" s="4">
        <v>2.0</v>
      </c>
      <c r="BU91" s="4">
        <v>20.0</v>
      </c>
      <c r="BV91" s="4">
        <v>44.0</v>
      </c>
      <c r="BW91" s="4">
        <v>0.0</v>
      </c>
      <c r="BX91" s="4">
        <v>0.0</v>
      </c>
      <c r="BY91" s="4">
        <v>0.0</v>
      </c>
      <c r="BZ91" s="4">
        <v>0.0</v>
      </c>
      <c r="CA91" s="4">
        <v>0.0</v>
      </c>
      <c r="CB91" s="4">
        <v>0.0</v>
      </c>
      <c r="CC91" s="4">
        <v>0.0</v>
      </c>
      <c r="CD91" s="4">
        <v>0.0</v>
      </c>
      <c r="CE91" s="4">
        <v>0.0</v>
      </c>
      <c r="CF91" s="4">
        <v>0.0</v>
      </c>
      <c r="CG91" s="4">
        <v>0.0</v>
      </c>
      <c r="CH91" s="4">
        <v>0.0</v>
      </c>
      <c r="CI91" s="4">
        <v>0.0</v>
      </c>
      <c r="CJ91" s="4">
        <v>0.0</v>
      </c>
      <c r="CK91" s="4">
        <v>0.0</v>
      </c>
      <c r="CL91" s="4">
        <v>0.0</v>
      </c>
      <c r="CM91" s="4">
        <v>0.0</v>
      </c>
      <c r="CN91" s="4">
        <v>0.0</v>
      </c>
      <c r="CO91" s="4">
        <v>0.0</v>
      </c>
      <c r="CP91" s="4">
        <v>0.0</v>
      </c>
      <c r="CQ91" s="4">
        <v>0.0</v>
      </c>
      <c r="CR91" s="4">
        <v>0.0</v>
      </c>
      <c r="CS91" s="4">
        <v>0.0</v>
      </c>
      <c r="CT91" s="4">
        <v>0.0</v>
      </c>
      <c r="CU91" s="4">
        <f t="shared" si="2"/>
        <v>4040</v>
      </c>
      <c r="CV91" s="4">
        <v>103.0</v>
      </c>
      <c r="CW91" s="4">
        <v>185.0</v>
      </c>
      <c r="CX91" s="4">
        <f t="shared" si="3"/>
        <v>288</v>
      </c>
    </row>
    <row r="92">
      <c r="A92" s="4">
        <v>91.0</v>
      </c>
      <c r="B92" s="12" t="s">
        <v>252</v>
      </c>
      <c r="C92" s="4" t="s">
        <v>143</v>
      </c>
      <c r="D92" s="4" t="s">
        <v>146</v>
      </c>
      <c r="E92" s="4">
        <v>2025.0</v>
      </c>
      <c r="F92" s="4">
        <v>16.5</v>
      </c>
      <c r="G92" s="4">
        <v>360.0</v>
      </c>
      <c r="H92" s="4">
        <v>1590.0</v>
      </c>
      <c r="I92" s="4">
        <v>1080.0</v>
      </c>
      <c r="J92" s="4">
        <v>1080.0</v>
      </c>
      <c r="K92" s="4">
        <v>1080.0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96.0</v>
      </c>
      <c r="U92" s="4">
        <v>96.0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  <c r="AG92" s="4">
        <v>0.0</v>
      </c>
      <c r="AH92" s="4">
        <v>0.0</v>
      </c>
      <c r="AI92" s="4">
        <v>0.0</v>
      </c>
      <c r="AJ92" s="4">
        <v>0.0</v>
      </c>
      <c r="AK92" s="4">
        <v>0.0</v>
      </c>
      <c r="AL92" s="4">
        <f t="shared" si="1"/>
        <v>5022</v>
      </c>
      <c r="AM92" s="4">
        <v>2456.0</v>
      </c>
      <c r="AN92" s="4">
        <v>2413.0</v>
      </c>
      <c r="AO92" s="4">
        <v>4869.0</v>
      </c>
      <c r="AP92" s="4">
        <v>3356.0</v>
      </c>
      <c r="AQ92" s="4">
        <v>1477.0</v>
      </c>
      <c r="AR92" s="4">
        <v>36.0</v>
      </c>
      <c r="AS92" s="4">
        <v>909.0</v>
      </c>
      <c r="AT92" s="4">
        <v>2981.0</v>
      </c>
      <c r="AU92" s="4">
        <v>1727.0</v>
      </c>
      <c r="AV92" s="4">
        <v>1161.0</v>
      </c>
      <c r="AW92" s="4">
        <v>107.0</v>
      </c>
      <c r="AX92" s="4">
        <v>895.0</v>
      </c>
      <c r="AY92" s="4">
        <v>0.0</v>
      </c>
      <c r="AZ92" s="4">
        <v>0.0</v>
      </c>
      <c r="BA92" s="4">
        <v>0.0</v>
      </c>
      <c r="BB92" s="4">
        <v>0.0</v>
      </c>
      <c r="BC92" s="4">
        <v>0.0</v>
      </c>
      <c r="BD92" s="4">
        <v>0.0</v>
      </c>
      <c r="BE92" s="4">
        <v>0.0</v>
      </c>
      <c r="BF92" s="4">
        <v>0.0</v>
      </c>
      <c r="BG92" s="4">
        <v>0.0</v>
      </c>
      <c r="BH92" s="4">
        <v>0.0</v>
      </c>
      <c r="BI92" s="4">
        <v>0.0</v>
      </c>
      <c r="BJ92" s="4">
        <v>0.0</v>
      </c>
      <c r="BK92" s="4">
        <v>92.0</v>
      </c>
      <c r="BL92" s="4">
        <v>88.0</v>
      </c>
      <c r="BM92" s="4">
        <v>180.0</v>
      </c>
      <c r="BN92" s="4">
        <v>99.0</v>
      </c>
      <c r="BO92" s="4">
        <v>54.0</v>
      </c>
      <c r="BP92" s="4">
        <v>27.0</v>
      </c>
      <c r="BQ92" s="4">
        <v>34.0</v>
      </c>
      <c r="BR92" s="4">
        <v>63.0</v>
      </c>
      <c r="BS92" s="4">
        <v>29.0</v>
      </c>
      <c r="BT92" s="4">
        <v>50.0</v>
      </c>
      <c r="BU92" s="4">
        <v>8.0</v>
      </c>
      <c r="BV92" s="4">
        <v>10.0</v>
      </c>
      <c r="BW92" s="4">
        <v>0.0</v>
      </c>
      <c r="BX92" s="4">
        <v>0.0</v>
      </c>
      <c r="BY92" s="4">
        <v>0.0</v>
      </c>
      <c r="BZ92" s="4">
        <v>0.0</v>
      </c>
      <c r="CA92" s="4">
        <v>0.0</v>
      </c>
      <c r="CB92" s="4">
        <v>0.0</v>
      </c>
      <c r="CC92" s="4">
        <v>0.0</v>
      </c>
      <c r="CD92" s="4">
        <v>0.0</v>
      </c>
      <c r="CE92" s="4">
        <v>0.0</v>
      </c>
      <c r="CF92" s="4">
        <v>0.0</v>
      </c>
      <c r="CG92" s="4">
        <v>0.0</v>
      </c>
      <c r="CH92" s="4">
        <v>0.0</v>
      </c>
      <c r="CI92" s="4">
        <v>0.0</v>
      </c>
      <c r="CJ92" s="4">
        <v>0.0</v>
      </c>
      <c r="CK92" s="4">
        <v>0.0</v>
      </c>
      <c r="CL92" s="4">
        <v>0.0</v>
      </c>
      <c r="CM92" s="4">
        <v>0.0</v>
      </c>
      <c r="CN92" s="4">
        <v>0.0</v>
      </c>
      <c r="CO92" s="4">
        <v>0.0</v>
      </c>
      <c r="CP92" s="4">
        <v>0.0</v>
      </c>
      <c r="CQ92" s="4">
        <v>0.0</v>
      </c>
      <c r="CR92" s="4">
        <v>0.0</v>
      </c>
      <c r="CS92" s="4">
        <v>0.0</v>
      </c>
      <c r="CT92" s="4">
        <v>0.0</v>
      </c>
      <c r="CU92" s="4">
        <f t="shared" si="2"/>
        <v>5049</v>
      </c>
      <c r="CV92" s="4">
        <v>333.0</v>
      </c>
      <c r="CW92" s="4">
        <v>122.0</v>
      </c>
      <c r="CX92" s="4">
        <f t="shared" si="3"/>
        <v>455</v>
      </c>
    </row>
    <row r="93">
      <c r="A93" s="4">
        <v>92.0</v>
      </c>
      <c r="B93" s="12" t="s">
        <v>253</v>
      </c>
      <c r="C93" s="4" t="s">
        <v>176</v>
      </c>
      <c r="D93" s="4" t="s">
        <v>139</v>
      </c>
      <c r="E93" s="4">
        <v>2025.0</v>
      </c>
      <c r="F93" s="4">
        <v>3.78</v>
      </c>
      <c r="G93" s="4">
        <v>63.0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0.0</v>
      </c>
      <c r="T93" s="4">
        <v>478.0</v>
      </c>
      <c r="U93" s="4">
        <v>466.0</v>
      </c>
      <c r="V93" s="4">
        <v>0.0</v>
      </c>
      <c r="W93" s="4">
        <v>0.0</v>
      </c>
      <c r="X93" s="4">
        <v>0.0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0.0</v>
      </c>
      <c r="AG93" s="4">
        <v>0.0</v>
      </c>
      <c r="AH93" s="4">
        <v>0.0</v>
      </c>
      <c r="AI93" s="4">
        <v>0.0</v>
      </c>
      <c r="AJ93" s="4">
        <v>0.0</v>
      </c>
      <c r="AK93" s="4">
        <v>0.0</v>
      </c>
      <c r="AL93" s="4">
        <f t="shared" si="1"/>
        <v>944</v>
      </c>
      <c r="AM93" s="4">
        <v>0.0</v>
      </c>
      <c r="AN93" s="4">
        <v>0.0</v>
      </c>
      <c r="AO93" s="4">
        <v>0.0</v>
      </c>
      <c r="AP93" s="4">
        <v>0.0</v>
      </c>
      <c r="AQ93" s="4">
        <v>0.0</v>
      </c>
      <c r="AR93" s="4">
        <v>0.0</v>
      </c>
      <c r="AS93" s="4">
        <v>0.0</v>
      </c>
      <c r="AT93" s="4">
        <v>0.0</v>
      </c>
      <c r="AU93" s="4">
        <v>0.0</v>
      </c>
      <c r="AV93" s="4">
        <v>0.0</v>
      </c>
      <c r="AW93" s="4">
        <v>0.0</v>
      </c>
      <c r="AX93" s="4">
        <v>0.0</v>
      </c>
      <c r="AY93" s="4">
        <v>0.0</v>
      </c>
      <c r="AZ93" s="4">
        <v>0.0</v>
      </c>
      <c r="BA93" s="4">
        <v>0.0</v>
      </c>
      <c r="BB93" s="4">
        <v>0.0</v>
      </c>
      <c r="BC93" s="4">
        <v>0.0</v>
      </c>
      <c r="BD93" s="4">
        <v>0.0</v>
      </c>
      <c r="BE93" s="4">
        <v>0.0</v>
      </c>
      <c r="BF93" s="4">
        <v>0.0</v>
      </c>
      <c r="BG93" s="4">
        <v>0.0</v>
      </c>
      <c r="BH93" s="4">
        <v>0.0</v>
      </c>
      <c r="BI93" s="4">
        <v>0.0</v>
      </c>
      <c r="BJ93" s="4">
        <v>0.0</v>
      </c>
      <c r="BK93" s="4">
        <v>348.0</v>
      </c>
      <c r="BL93" s="4">
        <v>89.0</v>
      </c>
      <c r="BM93" s="4">
        <v>437.0</v>
      </c>
      <c r="BN93" s="4">
        <v>102.0</v>
      </c>
      <c r="BO93" s="4">
        <v>335.0</v>
      </c>
      <c r="BP93" s="4">
        <v>0.0</v>
      </c>
      <c r="BQ93" s="4">
        <v>19.0</v>
      </c>
      <c r="BR93" s="4">
        <v>168.0</v>
      </c>
      <c r="BS93" s="4">
        <v>187.0</v>
      </c>
      <c r="BT93" s="4">
        <v>0.0</v>
      </c>
      <c r="BU93" s="4">
        <v>0.0</v>
      </c>
      <c r="BV93" s="4">
        <v>0.0</v>
      </c>
      <c r="BW93" s="4">
        <v>0.0</v>
      </c>
      <c r="BX93" s="4">
        <v>0.0</v>
      </c>
      <c r="BY93" s="4">
        <v>0.0</v>
      </c>
      <c r="BZ93" s="4">
        <v>0.0</v>
      </c>
      <c r="CA93" s="4">
        <v>0.0</v>
      </c>
      <c r="CB93" s="4">
        <v>0.0</v>
      </c>
      <c r="CC93" s="4">
        <v>0.0</v>
      </c>
      <c r="CD93" s="4">
        <v>0.0</v>
      </c>
      <c r="CE93" s="4">
        <v>0.0</v>
      </c>
      <c r="CF93" s="4">
        <v>0.0</v>
      </c>
      <c r="CG93" s="4">
        <v>0.0</v>
      </c>
      <c r="CH93" s="4">
        <v>0.0</v>
      </c>
      <c r="CI93" s="4">
        <v>0.0</v>
      </c>
      <c r="CJ93" s="4">
        <v>0.0</v>
      </c>
      <c r="CK93" s="4">
        <v>0.0</v>
      </c>
      <c r="CL93" s="4">
        <v>0.0</v>
      </c>
      <c r="CM93" s="4">
        <v>0.0</v>
      </c>
      <c r="CN93" s="4">
        <v>0.0</v>
      </c>
      <c r="CO93" s="4">
        <v>0.0</v>
      </c>
      <c r="CP93" s="4">
        <v>0.0</v>
      </c>
      <c r="CQ93" s="4">
        <v>0.0</v>
      </c>
      <c r="CR93" s="4">
        <v>0.0</v>
      </c>
      <c r="CS93" s="4">
        <v>0.0</v>
      </c>
      <c r="CT93" s="4">
        <v>0.0</v>
      </c>
      <c r="CU93" s="4">
        <f t="shared" si="2"/>
        <v>437</v>
      </c>
      <c r="CV93" s="4">
        <v>75.0</v>
      </c>
      <c r="CW93" s="4">
        <v>91.0</v>
      </c>
      <c r="CX93" s="4">
        <f t="shared" si="3"/>
        <v>166</v>
      </c>
    </row>
    <row r="94">
      <c r="A94" s="4">
        <v>93.0</v>
      </c>
      <c r="B94" s="12" t="s">
        <v>254</v>
      </c>
      <c r="C94" s="4" t="s">
        <v>255</v>
      </c>
      <c r="D94" s="4" t="s">
        <v>2</v>
      </c>
      <c r="E94" s="4">
        <v>2025.0</v>
      </c>
      <c r="F94" s="4">
        <v>11.22</v>
      </c>
      <c r="G94" s="4">
        <v>143.0</v>
      </c>
      <c r="H94" s="4">
        <v>698.0</v>
      </c>
      <c r="I94" s="4">
        <v>698.0</v>
      </c>
      <c r="J94" s="4">
        <v>698.0</v>
      </c>
      <c r="K94" s="4">
        <v>698.0</v>
      </c>
      <c r="L94" s="4">
        <v>0.0</v>
      </c>
      <c r="M94" s="4">
        <v>0.0</v>
      </c>
      <c r="N94" s="4">
        <v>36.0</v>
      </c>
      <c r="O94" s="4">
        <v>36.0</v>
      </c>
      <c r="P94" s="4">
        <v>36.0</v>
      </c>
      <c r="Q94" s="4">
        <v>36.0</v>
      </c>
      <c r="R94" s="4">
        <v>55.0</v>
      </c>
      <c r="S94" s="4">
        <v>0.0</v>
      </c>
      <c r="T94" s="4">
        <v>222.0</v>
      </c>
      <c r="U94" s="4">
        <v>222.0</v>
      </c>
      <c r="V94" s="4">
        <v>0.0</v>
      </c>
      <c r="W94" s="4">
        <v>0.0</v>
      </c>
      <c r="X94" s="4">
        <v>0.0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0.0</v>
      </c>
      <c r="AG94" s="4">
        <v>0.0</v>
      </c>
      <c r="AH94" s="4">
        <v>0.0</v>
      </c>
      <c r="AI94" s="4">
        <v>0.0</v>
      </c>
      <c r="AJ94" s="4">
        <v>0.0</v>
      </c>
      <c r="AK94" s="4">
        <v>0.0</v>
      </c>
      <c r="AL94" s="4">
        <f t="shared" si="1"/>
        <v>3435</v>
      </c>
      <c r="AM94" s="4">
        <v>2124.0</v>
      </c>
      <c r="AN94" s="4">
        <v>585.0</v>
      </c>
      <c r="AO94" s="4">
        <v>2709.0</v>
      </c>
      <c r="AP94" s="4">
        <v>331.0</v>
      </c>
      <c r="AQ94" s="4">
        <v>2369.0</v>
      </c>
      <c r="AR94" s="4">
        <v>9.0</v>
      </c>
      <c r="AS94" s="4">
        <v>97.0</v>
      </c>
      <c r="AT94" s="4">
        <v>548.0</v>
      </c>
      <c r="AU94" s="4">
        <v>227.0</v>
      </c>
      <c r="AV94" s="4">
        <v>238.0</v>
      </c>
      <c r="AW94" s="4">
        <v>81.0</v>
      </c>
      <c r="AX94" s="4">
        <v>99.0</v>
      </c>
      <c r="AY94" s="4">
        <v>95.0</v>
      </c>
      <c r="AZ94" s="4">
        <v>27.0</v>
      </c>
      <c r="BA94" s="4">
        <v>122.0</v>
      </c>
      <c r="BB94" s="4">
        <v>15.0</v>
      </c>
      <c r="BC94" s="4">
        <v>107.0</v>
      </c>
      <c r="BD94" s="4">
        <v>0.0</v>
      </c>
      <c r="BE94" s="4">
        <v>10.0</v>
      </c>
      <c r="BF94" s="4">
        <v>24.0</v>
      </c>
      <c r="BG94" s="4">
        <v>13.0</v>
      </c>
      <c r="BH94" s="4">
        <v>6.0</v>
      </c>
      <c r="BI94" s="4">
        <v>7.0</v>
      </c>
      <c r="BJ94" s="4">
        <v>8.0</v>
      </c>
      <c r="BK94" s="4">
        <v>100.0</v>
      </c>
      <c r="BL94" s="4">
        <v>84.0</v>
      </c>
      <c r="BM94" s="4">
        <v>184.0</v>
      </c>
      <c r="BN94" s="4">
        <v>18.0</v>
      </c>
      <c r="BO94" s="4">
        <v>166.0</v>
      </c>
      <c r="BP94" s="4">
        <v>0.0</v>
      </c>
      <c r="BQ94" s="4">
        <v>0.0</v>
      </c>
      <c r="BR94" s="4">
        <v>36.0</v>
      </c>
      <c r="BS94" s="4">
        <v>12.0</v>
      </c>
      <c r="BT94" s="4">
        <v>8.0</v>
      </c>
      <c r="BU94" s="4">
        <v>2.0</v>
      </c>
      <c r="BV94" s="4">
        <v>14.0</v>
      </c>
      <c r="BW94" s="4">
        <v>0.0</v>
      </c>
      <c r="BX94" s="4">
        <v>0.0</v>
      </c>
      <c r="BY94" s="4">
        <v>0.0</v>
      </c>
      <c r="BZ94" s="4">
        <v>0.0</v>
      </c>
      <c r="CA94" s="4">
        <v>0.0</v>
      </c>
      <c r="CB94" s="4">
        <v>0.0</v>
      </c>
      <c r="CC94" s="4">
        <v>0.0</v>
      </c>
      <c r="CD94" s="4">
        <v>0.0</v>
      </c>
      <c r="CE94" s="4">
        <v>0.0</v>
      </c>
      <c r="CF94" s="4">
        <v>0.0</v>
      </c>
      <c r="CG94" s="4">
        <v>0.0</v>
      </c>
      <c r="CH94" s="4">
        <v>0.0</v>
      </c>
      <c r="CI94" s="4">
        <v>0.0</v>
      </c>
      <c r="CJ94" s="4">
        <v>0.0</v>
      </c>
      <c r="CK94" s="4">
        <v>0.0</v>
      </c>
      <c r="CL94" s="4">
        <v>0.0</v>
      </c>
      <c r="CM94" s="4">
        <v>0.0</v>
      </c>
      <c r="CN94" s="4">
        <v>0.0</v>
      </c>
      <c r="CO94" s="4">
        <v>0.0</v>
      </c>
      <c r="CP94" s="4">
        <v>0.0</v>
      </c>
      <c r="CQ94" s="4">
        <v>0.0</v>
      </c>
      <c r="CR94" s="4">
        <v>0.0</v>
      </c>
      <c r="CS94" s="4">
        <v>0.0</v>
      </c>
      <c r="CT94" s="4">
        <v>0.0</v>
      </c>
      <c r="CU94" s="4">
        <f t="shared" si="2"/>
        <v>3015</v>
      </c>
      <c r="CV94" s="4">
        <v>153.0</v>
      </c>
      <c r="CW94" s="4">
        <v>0.0</v>
      </c>
      <c r="CX94" s="4">
        <f t="shared" si="3"/>
        <v>153</v>
      </c>
    </row>
    <row r="95">
      <c r="A95" s="4">
        <v>94.0</v>
      </c>
      <c r="B95" s="12" t="s">
        <v>256</v>
      </c>
      <c r="C95" s="4" t="s">
        <v>110</v>
      </c>
      <c r="D95" s="4" t="s">
        <v>2</v>
      </c>
      <c r="E95" s="4">
        <v>2025.0</v>
      </c>
      <c r="F95" s="4">
        <v>15.5</v>
      </c>
      <c r="G95" s="4">
        <v>501.0</v>
      </c>
      <c r="H95" s="4">
        <v>1620.0</v>
      </c>
      <c r="I95" s="4">
        <v>1620.0</v>
      </c>
      <c r="J95" s="4">
        <v>1375.0</v>
      </c>
      <c r="K95" s="4">
        <v>1307.0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720.0</v>
      </c>
      <c r="U95" s="4">
        <v>720.0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0.0</v>
      </c>
      <c r="AG95" s="4">
        <v>0.0</v>
      </c>
      <c r="AH95" s="4">
        <v>0.0</v>
      </c>
      <c r="AI95" s="4">
        <v>0.0</v>
      </c>
      <c r="AJ95" s="4">
        <v>0.0</v>
      </c>
      <c r="AK95" s="4">
        <v>0.0</v>
      </c>
      <c r="AL95" s="4">
        <f t="shared" si="1"/>
        <v>7362</v>
      </c>
      <c r="AM95" s="4">
        <v>2901.0</v>
      </c>
      <c r="AN95" s="4">
        <v>3021.0</v>
      </c>
      <c r="AO95" s="4">
        <v>5922.0</v>
      </c>
      <c r="AP95" s="4">
        <v>3720.0</v>
      </c>
      <c r="AQ95" s="4">
        <v>1777.0</v>
      </c>
      <c r="AR95" s="4">
        <v>425.0</v>
      </c>
      <c r="AS95" s="4">
        <v>710.0</v>
      </c>
      <c r="AT95" s="4">
        <v>5212.0</v>
      </c>
      <c r="AU95" s="4">
        <v>5235.0</v>
      </c>
      <c r="AV95" s="4">
        <v>0.0</v>
      </c>
      <c r="AW95" s="4">
        <v>603.0</v>
      </c>
      <c r="AX95" s="4">
        <v>84.0</v>
      </c>
      <c r="AY95" s="4">
        <v>0.0</v>
      </c>
      <c r="AZ95" s="4">
        <v>0.0</v>
      </c>
      <c r="BA95" s="4">
        <v>0.0</v>
      </c>
      <c r="BB95" s="4">
        <v>0.0</v>
      </c>
      <c r="BC95" s="4">
        <v>0.0</v>
      </c>
      <c r="BD95" s="4">
        <v>0.0</v>
      </c>
      <c r="BE95" s="4">
        <v>0.0</v>
      </c>
      <c r="BF95" s="4">
        <v>0.0</v>
      </c>
      <c r="BG95" s="4">
        <v>0.0</v>
      </c>
      <c r="BH95" s="4">
        <v>0.0</v>
      </c>
      <c r="BI95" s="4">
        <v>0.0</v>
      </c>
      <c r="BJ95" s="4">
        <v>0.0</v>
      </c>
      <c r="BK95" s="4">
        <v>705.0</v>
      </c>
      <c r="BL95" s="4">
        <v>735.0</v>
      </c>
      <c r="BM95" s="4">
        <v>1440.0</v>
      </c>
      <c r="BN95" s="4">
        <v>1012.0</v>
      </c>
      <c r="BO95" s="4">
        <v>403.0</v>
      </c>
      <c r="BP95" s="4">
        <v>25.0</v>
      </c>
      <c r="BQ95" s="4">
        <v>152.0</v>
      </c>
      <c r="BR95" s="4">
        <v>1288.0</v>
      </c>
      <c r="BS95" s="4">
        <v>1402.0</v>
      </c>
      <c r="BT95" s="4">
        <v>0.0</v>
      </c>
      <c r="BU95" s="4">
        <v>38.0</v>
      </c>
      <c r="BV95" s="4">
        <v>0.0</v>
      </c>
      <c r="BW95" s="4">
        <v>0.0</v>
      </c>
      <c r="BX95" s="4">
        <v>0.0</v>
      </c>
      <c r="BY95" s="4">
        <v>0.0</v>
      </c>
      <c r="BZ95" s="4">
        <v>0.0</v>
      </c>
      <c r="CA95" s="4">
        <v>0.0</v>
      </c>
      <c r="CB95" s="4">
        <v>0.0</v>
      </c>
      <c r="CC95" s="4">
        <v>0.0</v>
      </c>
      <c r="CD95" s="4">
        <v>0.0</v>
      </c>
      <c r="CE95" s="4">
        <v>0.0</v>
      </c>
      <c r="CF95" s="4">
        <v>0.0</v>
      </c>
      <c r="CG95" s="4">
        <v>0.0</v>
      </c>
      <c r="CH95" s="4">
        <v>0.0</v>
      </c>
      <c r="CI95" s="4">
        <v>0.0</v>
      </c>
      <c r="CJ95" s="4">
        <v>0.0</v>
      </c>
      <c r="CK95" s="4">
        <v>0.0</v>
      </c>
      <c r="CL95" s="4">
        <v>0.0</v>
      </c>
      <c r="CM95" s="4">
        <v>0.0</v>
      </c>
      <c r="CN95" s="4">
        <v>0.0</v>
      </c>
      <c r="CO95" s="4">
        <v>0.0</v>
      </c>
      <c r="CP95" s="4">
        <v>0.0</v>
      </c>
      <c r="CQ95" s="4">
        <v>0.0</v>
      </c>
      <c r="CR95" s="4">
        <v>0.0</v>
      </c>
      <c r="CS95" s="4">
        <v>0.0</v>
      </c>
      <c r="CT95" s="4">
        <v>0.0</v>
      </c>
      <c r="CU95" s="4">
        <f t="shared" si="2"/>
        <v>7362</v>
      </c>
      <c r="CV95" s="4">
        <v>101.0</v>
      </c>
      <c r="CW95" s="4">
        <v>216.0</v>
      </c>
      <c r="CX95" s="4">
        <f t="shared" si="3"/>
        <v>317</v>
      </c>
    </row>
    <row r="96">
      <c r="A96" s="4">
        <v>95.0</v>
      </c>
      <c r="B96" s="12" t="s">
        <v>257</v>
      </c>
      <c r="C96" s="4" t="s">
        <v>135</v>
      </c>
      <c r="D96" s="4" t="s">
        <v>146</v>
      </c>
      <c r="E96" s="4">
        <v>2025.0</v>
      </c>
      <c r="F96" s="4">
        <v>16.5</v>
      </c>
      <c r="G96" s="4">
        <v>451.0</v>
      </c>
      <c r="H96" s="4">
        <v>1050.0</v>
      </c>
      <c r="I96" s="4">
        <v>1050.0</v>
      </c>
      <c r="J96" s="4">
        <v>1440.0</v>
      </c>
      <c r="K96" s="4">
        <v>1320.0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132.0</v>
      </c>
      <c r="U96" s="4">
        <v>132.0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  <c r="AG96" s="4">
        <v>0.0</v>
      </c>
      <c r="AH96" s="4">
        <v>0.0</v>
      </c>
      <c r="AI96" s="4">
        <v>0.0</v>
      </c>
      <c r="AJ96" s="4">
        <v>0.0</v>
      </c>
      <c r="AK96" s="4">
        <v>0.0</v>
      </c>
      <c r="AL96" s="4">
        <f t="shared" si="1"/>
        <v>5124</v>
      </c>
      <c r="AM96" s="4">
        <v>2590.0</v>
      </c>
      <c r="AN96" s="4">
        <v>2388.0</v>
      </c>
      <c r="AO96" s="4">
        <v>4978.0</v>
      </c>
      <c r="AP96" s="4">
        <v>1665.0</v>
      </c>
      <c r="AQ96" s="4">
        <v>3059.0</v>
      </c>
      <c r="AR96" s="4">
        <v>254.0</v>
      </c>
      <c r="AS96" s="4">
        <v>2590.0</v>
      </c>
      <c r="AT96" s="4">
        <v>1138.0</v>
      </c>
      <c r="AU96" s="4">
        <v>870.0</v>
      </c>
      <c r="AV96" s="4">
        <v>645.0</v>
      </c>
      <c r="AW96" s="4">
        <v>598.0</v>
      </c>
      <c r="AX96" s="4">
        <v>1615.0</v>
      </c>
      <c r="AY96" s="4">
        <v>0.0</v>
      </c>
      <c r="AZ96" s="4">
        <v>0.0</v>
      </c>
      <c r="BA96" s="4">
        <v>0.0</v>
      </c>
      <c r="BB96" s="4">
        <v>0.0</v>
      </c>
      <c r="BC96" s="4">
        <v>0.0</v>
      </c>
      <c r="BD96" s="4">
        <v>0.0</v>
      </c>
      <c r="BE96" s="4">
        <v>0.0</v>
      </c>
      <c r="BF96" s="4">
        <v>0.0</v>
      </c>
      <c r="BG96" s="4">
        <v>0.0</v>
      </c>
      <c r="BH96" s="4">
        <v>0.0</v>
      </c>
      <c r="BI96" s="4">
        <v>0.0</v>
      </c>
      <c r="BJ96" s="4">
        <v>0.0</v>
      </c>
      <c r="BK96" s="4">
        <v>138.0</v>
      </c>
      <c r="BL96" s="4">
        <v>126.0</v>
      </c>
      <c r="BM96" s="4">
        <v>264.0</v>
      </c>
      <c r="BN96" s="4">
        <v>112.0</v>
      </c>
      <c r="BO96" s="4">
        <v>126.0</v>
      </c>
      <c r="BP96" s="4">
        <v>26.0</v>
      </c>
      <c r="BQ96" s="4">
        <v>118.0</v>
      </c>
      <c r="BR96" s="4">
        <v>47.0</v>
      </c>
      <c r="BS96" s="4">
        <v>61.0</v>
      </c>
      <c r="BT96" s="4">
        <v>32.0</v>
      </c>
      <c r="BU96" s="4">
        <v>37.0</v>
      </c>
      <c r="BV96" s="4">
        <v>35.0</v>
      </c>
      <c r="BW96" s="4">
        <v>0.0</v>
      </c>
      <c r="BX96" s="4">
        <v>0.0</v>
      </c>
      <c r="BY96" s="4">
        <v>0.0</v>
      </c>
      <c r="BZ96" s="4">
        <v>0.0</v>
      </c>
      <c r="CA96" s="4">
        <v>0.0</v>
      </c>
      <c r="CB96" s="4">
        <v>0.0</v>
      </c>
      <c r="CC96" s="4">
        <v>0.0</v>
      </c>
      <c r="CD96" s="4">
        <v>0.0</v>
      </c>
      <c r="CE96" s="4">
        <v>0.0</v>
      </c>
      <c r="CF96" s="4">
        <v>0.0</v>
      </c>
      <c r="CG96" s="4">
        <v>0.0</v>
      </c>
      <c r="CH96" s="4">
        <v>0.0</v>
      </c>
      <c r="CI96" s="4">
        <v>0.0</v>
      </c>
      <c r="CJ96" s="4">
        <v>0.0</v>
      </c>
      <c r="CK96" s="4">
        <v>0.0</v>
      </c>
      <c r="CL96" s="4">
        <v>0.0</v>
      </c>
      <c r="CM96" s="4">
        <v>0.0</v>
      </c>
      <c r="CN96" s="4">
        <v>0.0</v>
      </c>
      <c r="CO96" s="4">
        <v>0.0</v>
      </c>
      <c r="CP96" s="4">
        <v>0.0</v>
      </c>
      <c r="CQ96" s="4">
        <v>0.0</v>
      </c>
      <c r="CR96" s="4">
        <v>0.0</v>
      </c>
      <c r="CS96" s="4">
        <v>0.0</v>
      </c>
      <c r="CT96" s="4">
        <v>0.0</v>
      </c>
      <c r="CU96" s="4">
        <f t="shared" si="2"/>
        <v>5242</v>
      </c>
      <c r="CV96" s="4">
        <v>265.0</v>
      </c>
      <c r="CW96" s="4">
        <v>51.0</v>
      </c>
      <c r="CX96" s="4">
        <f t="shared" si="3"/>
        <v>316</v>
      </c>
    </row>
    <row r="97">
      <c r="A97" s="4">
        <v>96.0</v>
      </c>
      <c r="B97" s="12" t="s">
        <v>258</v>
      </c>
      <c r="C97" s="4" t="s">
        <v>259</v>
      </c>
      <c r="D97" s="4" t="s">
        <v>139</v>
      </c>
      <c r="E97" s="4">
        <v>2025.0</v>
      </c>
      <c r="F97" s="4">
        <v>8.02</v>
      </c>
      <c r="G97" s="4">
        <v>78.0</v>
      </c>
      <c r="H97" s="4">
        <v>172.0</v>
      </c>
      <c r="I97" s="4">
        <v>76.0</v>
      </c>
      <c r="J97" s="4">
        <v>74.0</v>
      </c>
      <c r="K97" s="4">
        <v>74.0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  <c r="T97" s="4">
        <v>50.0</v>
      </c>
      <c r="U97" s="4">
        <v>50.0</v>
      </c>
      <c r="V97" s="4">
        <v>0.0</v>
      </c>
      <c r="W97" s="4">
        <v>0.0</v>
      </c>
      <c r="X97" s="4">
        <v>0.0</v>
      </c>
      <c r="Y97" s="4">
        <v>0.0</v>
      </c>
      <c r="Z97" s="8">
        <v>0.0</v>
      </c>
      <c r="AA97" s="8">
        <v>0.0</v>
      </c>
      <c r="AB97" s="8">
        <v>0.0</v>
      </c>
      <c r="AC97" s="8">
        <v>0.0</v>
      </c>
      <c r="AD97" s="8">
        <v>0.0</v>
      </c>
      <c r="AE97" s="8">
        <v>0.0</v>
      </c>
      <c r="AF97" s="6">
        <v>96.0</v>
      </c>
      <c r="AG97" s="6">
        <v>120.0</v>
      </c>
      <c r="AH97" s="6">
        <v>119.0</v>
      </c>
      <c r="AI97" s="6">
        <v>119.0</v>
      </c>
      <c r="AJ97" s="6">
        <v>119.0</v>
      </c>
      <c r="AK97" s="6">
        <v>0.0</v>
      </c>
      <c r="AL97" s="4">
        <f t="shared" si="1"/>
        <v>1069</v>
      </c>
      <c r="AM97" s="4">
        <v>324.0</v>
      </c>
      <c r="AN97" s="4">
        <v>71.0</v>
      </c>
      <c r="AO97" s="4">
        <v>395.0</v>
      </c>
      <c r="AP97" s="4">
        <v>28.0</v>
      </c>
      <c r="AQ97" s="4">
        <v>340.0</v>
      </c>
      <c r="AR97" s="4">
        <v>27.0</v>
      </c>
      <c r="AS97" s="4">
        <v>46.0</v>
      </c>
      <c r="AT97" s="4">
        <v>175.0</v>
      </c>
      <c r="AU97" s="4">
        <v>92.0</v>
      </c>
      <c r="AV97" s="4">
        <v>14.0</v>
      </c>
      <c r="AW97" s="4">
        <v>4.0</v>
      </c>
      <c r="AX97" s="4">
        <v>111.0</v>
      </c>
      <c r="AY97" s="4">
        <v>0.0</v>
      </c>
      <c r="AZ97" s="4">
        <v>0.0</v>
      </c>
      <c r="BA97" s="4">
        <v>0.0</v>
      </c>
      <c r="BB97" s="4">
        <v>0.0</v>
      </c>
      <c r="BC97" s="4">
        <v>0.0</v>
      </c>
      <c r="BD97" s="4">
        <v>0.0</v>
      </c>
      <c r="BE97" s="4">
        <v>0.0</v>
      </c>
      <c r="BF97" s="4">
        <v>0.0</v>
      </c>
      <c r="BG97" s="4">
        <v>0.0</v>
      </c>
      <c r="BH97" s="4">
        <v>0.0</v>
      </c>
      <c r="BI97" s="4">
        <v>0.0</v>
      </c>
      <c r="BJ97" s="4">
        <v>0.0</v>
      </c>
      <c r="BK97" s="4">
        <v>33.0</v>
      </c>
      <c r="BL97" s="4">
        <v>9.0</v>
      </c>
      <c r="BM97" s="4">
        <v>42.0</v>
      </c>
      <c r="BN97" s="4">
        <v>10.0</v>
      </c>
      <c r="BO97" s="4">
        <v>32.0</v>
      </c>
      <c r="BP97" s="4">
        <v>0.0</v>
      </c>
      <c r="BQ97" s="4">
        <v>9.0</v>
      </c>
      <c r="BR97" s="4">
        <v>14.0</v>
      </c>
      <c r="BS97" s="4">
        <v>0.0</v>
      </c>
      <c r="BT97" s="4">
        <v>14.0</v>
      </c>
      <c r="BU97" s="4">
        <v>2.0</v>
      </c>
      <c r="BV97" s="4">
        <v>7.0</v>
      </c>
      <c r="BW97" s="4">
        <v>0.0</v>
      </c>
      <c r="BX97" s="4">
        <v>0.0</v>
      </c>
      <c r="BY97" s="4">
        <v>0.0</v>
      </c>
      <c r="BZ97" s="4">
        <v>0.0</v>
      </c>
      <c r="CA97" s="4">
        <v>0.0</v>
      </c>
      <c r="CB97" s="4">
        <v>0.0</v>
      </c>
      <c r="CC97" s="4">
        <v>0.0</v>
      </c>
      <c r="CD97" s="4">
        <v>0.0</v>
      </c>
      <c r="CE97" s="4">
        <v>0.0</v>
      </c>
      <c r="CF97" s="4">
        <v>0.0</v>
      </c>
      <c r="CG97" s="4">
        <v>0.0</v>
      </c>
      <c r="CH97" s="4">
        <v>0.0</v>
      </c>
      <c r="CI97" s="6">
        <v>470.0</v>
      </c>
      <c r="CJ97" s="6">
        <v>94.0</v>
      </c>
      <c r="CK97" s="6">
        <v>564.0</v>
      </c>
      <c r="CL97" s="6">
        <v>73.0</v>
      </c>
      <c r="CM97" s="6">
        <v>484.0</v>
      </c>
      <c r="CN97" s="6">
        <v>7.0</v>
      </c>
      <c r="CO97" s="6">
        <v>74.0</v>
      </c>
      <c r="CP97" s="6">
        <v>268.0</v>
      </c>
      <c r="CQ97" s="6">
        <v>156.0</v>
      </c>
      <c r="CR97" s="6">
        <v>26.0</v>
      </c>
      <c r="CS97" s="6">
        <v>17.0</v>
      </c>
      <c r="CT97" s="6">
        <v>143.0</v>
      </c>
      <c r="CU97" s="4">
        <f t="shared" si="2"/>
        <v>1001</v>
      </c>
      <c r="CV97" s="4">
        <v>67.0</v>
      </c>
      <c r="CW97" s="4">
        <v>38.0</v>
      </c>
      <c r="CX97" s="4">
        <f t="shared" si="3"/>
        <v>105</v>
      </c>
    </row>
    <row r="98">
      <c r="A98" s="4">
        <v>97.0</v>
      </c>
      <c r="B98" s="12" t="s">
        <v>260</v>
      </c>
      <c r="C98" s="4" t="s">
        <v>261</v>
      </c>
      <c r="D98" s="4" t="s">
        <v>139</v>
      </c>
      <c r="E98" s="4">
        <v>2025.0</v>
      </c>
      <c r="F98" s="4">
        <v>13.0</v>
      </c>
      <c r="G98" s="4">
        <v>237.0</v>
      </c>
      <c r="H98" s="4">
        <v>830.0</v>
      </c>
      <c r="I98" s="4">
        <v>830.0</v>
      </c>
      <c r="J98" s="4">
        <v>830.0</v>
      </c>
      <c r="K98" s="4">
        <v>830.0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0.0</v>
      </c>
      <c r="T98" s="4">
        <v>342.0</v>
      </c>
      <c r="U98" s="4">
        <v>450.0</v>
      </c>
      <c r="V98" s="4">
        <v>0.0</v>
      </c>
      <c r="W98" s="4">
        <v>0.0</v>
      </c>
      <c r="X98" s="4">
        <v>0.0</v>
      </c>
      <c r="Y98" s="4">
        <v>0.0</v>
      </c>
      <c r="Z98" s="8">
        <v>0.0</v>
      </c>
      <c r="AA98" s="8">
        <v>0.0</v>
      </c>
      <c r="AB98" s="8">
        <v>0.0</v>
      </c>
      <c r="AC98" s="8">
        <v>0.0</v>
      </c>
      <c r="AD98" s="8">
        <v>0.0</v>
      </c>
      <c r="AE98" s="8">
        <v>0.0</v>
      </c>
      <c r="AF98" s="6">
        <v>56.0</v>
      </c>
      <c r="AG98" s="6">
        <v>56.0</v>
      </c>
      <c r="AH98" s="6">
        <v>56.0</v>
      </c>
      <c r="AI98" s="6">
        <v>56.0</v>
      </c>
      <c r="AJ98" s="6">
        <v>151.0</v>
      </c>
      <c r="AK98" s="6">
        <v>0.0</v>
      </c>
      <c r="AL98" s="4">
        <f t="shared" si="1"/>
        <v>4487</v>
      </c>
      <c r="AM98" s="4">
        <v>2536.0</v>
      </c>
      <c r="AN98" s="4">
        <v>757.0</v>
      </c>
      <c r="AO98" s="4">
        <v>3293.0</v>
      </c>
      <c r="AP98" s="4">
        <v>1543.0</v>
      </c>
      <c r="AQ98" s="4">
        <v>1728.0</v>
      </c>
      <c r="AR98" s="4">
        <v>22.0</v>
      </c>
      <c r="AS98" s="4">
        <v>529.0</v>
      </c>
      <c r="AT98" s="4">
        <v>2025.0</v>
      </c>
      <c r="AU98" s="4">
        <v>277.0</v>
      </c>
      <c r="AV98" s="4">
        <v>1600.0</v>
      </c>
      <c r="AW98" s="4">
        <v>73.0</v>
      </c>
      <c r="AX98" s="4">
        <v>604.0</v>
      </c>
      <c r="AY98" s="4">
        <v>0.0</v>
      </c>
      <c r="AZ98" s="4">
        <v>0.0</v>
      </c>
      <c r="BA98" s="4">
        <v>0.0</v>
      </c>
      <c r="BB98" s="4">
        <v>0.0</v>
      </c>
      <c r="BC98" s="4">
        <v>0.0</v>
      </c>
      <c r="BD98" s="4">
        <v>0.0</v>
      </c>
      <c r="BE98" s="4">
        <v>0.0</v>
      </c>
      <c r="BF98" s="4">
        <v>0.0</v>
      </c>
      <c r="BG98" s="4">
        <v>0.0</v>
      </c>
      <c r="BH98" s="4">
        <v>0.0</v>
      </c>
      <c r="BI98" s="4">
        <v>0.0</v>
      </c>
      <c r="BJ98" s="4">
        <v>0.0</v>
      </c>
      <c r="BK98" s="4">
        <v>350.0</v>
      </c>
      <c r="BL98" s="4">
        <v>96.0</v>
      </c>
      <c r="BM98" s="4">
        <v>446.0</v>
      </c>
      <c r="BN98" s="4">
        <v>251.0</v>
      </c>
      <c r="BO98" s="4">
        <v>195.0</v>
      </c>
      <c r="BP98" s="4">
        <v>0.0</v>
      </c>
      <c r="BQ98" s="4">
        <v>52.0</v>
      </c>
      <c r="BR98" s="4">
        <v>219.0</v>
      </c>
      <c r="BS98" s="4">
        <v>84.0</v>
      </c>
      <c r="BT98" s="4">
        <v>145.0</v>
      </c>
      <c r="BU98" s="4">
        <v>0.0</v>
      </c>
      <c r="BV98" s="4">
        <v>42.0</v>
      </c>
      <c r="BW98" s="4">
        <v>0.0</v>
      </c>
      <c r="BX98" s="4">
        <v>0.0</v>
      </c>
      <c r="BY98" s="4">
        <v>0.0</v>
      </c>
      <c r="BZ98" s="4">
        <v>0.0</v>
      </c>
      <c r="CA98" s="4">
        <v>0.0</v>
      </c>
      <c r="CB98" s="4">
        <v>0.0</v>
      </c>
      <c r="CC98" s="4">
        <v>0.0</v>
      </c>
      <c r="CD98" s="4">
        <v>0.0</v>
      </c>
      <c r="CE98" s="4">
        <v>0.0</v>
      </c>
      <c r="CF98" s="4">
        <v>0.0</v>
      </c>
      <c r="CG98" s="4">
        <v>0.0</v>
      </c>
      <c r="CH98" s="4">
        <v>0.0</v>
      </c>
      <c r="CI98" s="6">
        <v>292.0</v>
      </c>
      <c r="CJ98" s="6">
        <v>82.0</v>
      </c>
      <c r="CK98" s="6">
        <v>374.0</v>
      </c>
      <c r="CL98" s="6">
        <v>180.0</v>
      </c>
      <c r="CM98" s="6">
        <v>193.0</v>
      </c>
      <c r="CN98" s="6">
        <v>1.0</v>
      </c>
      <c r="CO98" s="6">
        <v>46.0</v>
      </c>
      <c r="CP98" s="6">
        <v>185.0</v>
      </c>
      <c r="CQ98" s="6">
        <v>23.0</v>
      </c>
      <c r="CR98" s="6">
        <v>115.0</v>
      </c>
      <c r="CS98" s="6">
        <v>14.0</v>
      </c>
      <c r="CT98" s="6">
        <v>79.0</v>
      </c>
      <c r="CU98" s="4">
        <f t="shared" si="2"/>
        <v>4113</v>
      </c>
      <c r="CV98" s="4">
        <v>224.0</v>
      </c>
      <c r="CW98" s="4">
        <v>48.0</v>
      </c>
      <c r="CX98" s="4">
        <f t="shared" si="3"/>
        <v>272</v>
      </c>
    </row>
    <row r="99">
      <c r="A99" s="4">
        <v>98.0</v>
      </c>
      <c r="B99" s="12" t="s">
        <v>262</v>
      </c>
      <c r="C99" s="4" t="s">
        <v>263</v>
      </c>
      <c r="D99" s="4" t="s">
        <v>146</v>
      </c>
      <c r="E99" s="4">
        <v>2025.0</v>
      </c>
      <c r="F99" s="4">
        <v>15.5</v>
      </c>
      <c r="G99" s="4">
        <v>332.0</v>
      </c>
      <c r="H99" s="4">
        <v>1260.0</v>
      </c>
      <c r="I99" s="4">
        <v>1260.0</v>
      </c>
      <c r="J99" s="4">
        <v>1200.0</v>
      </c>
      <c r="K99" s="4">
        <v>1080.0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234.0</v>
      </c>
      <c r="U99" s="4">
        <v>234.0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0.0</v>
      </c>
      <c r="AG99" s="4">
        <v>0.0</v>
      </c>
      <c r="AH99" s="4">
        <v>0.0</v>
      </c>
      <c r="AI99" s="4">
        <v>0.0</v>
      </c>
      <c r="AJ99" s="4">
        <v>0.0</v>
      </c>
      <c r="AK99" s="4">
        <v>0.0</v>
      </c>
      <c r="AL99" s="4">
        <f t="shared" si="1"/>
        <v>5268</v>
      </c>
      <c r="AM99" s="4">
        <v>4264.0</v>
      </c>
      <c r="AN99" s="4">
        <v>897.0</v>
      </c>
      <c r="AO99" s="4">
        <v>5161.0</v>
      </c>
      <c r="AP99" s="4">
        <v>4617.0</v>
      </c>
      <c r="AQ99" s="4">
        <v>343.0</v>
      </c>
      <c r="AR99" s="4">
        <v>201.0</v>
      </c>
      <c r="AS99" s="4">
        <v>47.0</v>
      </c>
      <c r="AT99" s="4">
        <v>680.0</v>
      </c>
      <c r="AU99" s="4">
        <v>514.0</v>
      </c>
      <c r="AV99" s="4">
        <v>213.0</v>
      </c>
      <c r="AW99" s="4">
        <v>0.0</v>
      </c>
      <c r="AX99" s="4">
        <v>0.0</v>
      </c>
      <c r="AY99" s="4">
        <v>0.0</v>
      </c>
      <c r="AZ99" s="4">
        <v>0.0</v>
      </c>
      <c r="BA99" s="4">
        <v>0.0</v>
      </c>
      <c r="BB99" s="4">
        <v>0.0</v>
      </c>
      <c r="BC99" s="4">
        <v>0.0</v>
      </c>
      <c r="BD99" s="4">
        <v>0.0</v>
      </c>
      <c r="BE99" s="4">
        <v>0.0</v>
      </c>
      <c r="BF99" s="4">
        <v>0.0</v>
      </c>
      <c r="BG99" s="4">
        <v>0.0</v>
      </c>
      <c r="BH99" s="4">
        <v>0.0</v>
      </c>
      <c r="BI99" s="4">
        <v>0.0</v>
      </c>
      <c r="BJ99" s="4">
        <v>0.0</v>
      </c>
      <c r="BK99" s="4">
        <v>199.0</v>
      </c>
      <c r="BL99" s="4">
        <v>57.0</v>
      </c>
      <c r="BM99" s="4">
        <v>256.0</v>
      </c>
      <c r="BN99" s="4">
        <v>219.0</v>
      </c>
      <c r="BO99" s="4">
        <v>29.0</v>
      </c>
      <c r="BP99" s="4">
        <v>8.0</v>
      </c>
      <c r="BQ99" s="4">
        <v>2.0</v>
      </c>
      <c r="BR99" s="4">
        <v>53.0</v>
      </c>
      <c r="BS99" s="4">
        <v>3.0</v>
      </c>
      <c r="BT99" s="4">
        <v>0.0</v>
      </c>
      <c r="BU99" s="4">
        <v>0.0</v>
      </c>
      <c r="BV99" s="4">
        <v>52.0</v>
      </c>
      <c r="BW99" s="4">
        <v>0.0</v>
      </c>
      <c r="BX99" s="4">
        <v>0.0</v>
      </c>
      <c r="BY99" s="4">
        <v>0.0</v>
      </c>
      <c r="BZ99" s="4">
        <v>0.0</v>
      </c>
      <c r="CA99" s="4">
        <v>0.0</v>
      </c>
      <c r="CB99" s="4">
        <v>0.0</v>
      </c>
      <c r="CC99" s="4">
        <v>0.0</v>
      </c>
      <c r="CD99" s="4">
        <v>0.0</v>
      </c>
      <c r="CE99" s="4">
        <v>0.0</v>
      </c>
      <c r="CF99" s="4">
        <v>0.0</v>
      </c>
      <c r="CG99" s="4">
        <v>0.0</v>
      </c>
      <c r="CH99" s="4">
        <v>0.0</v>
      </c>
      <c r="CI99" s="4">
        <v>0.0</v>
      </c>
      <c r="CJ99" s="4">
        <v>0.0</v>
      </c>
      <c r="CK99" s="4">
        <v>0.0</v>
      </c>
      <c r="CL99" s="4">
        <v>0.0</v>
      </c>
      <c r="CM99" s="4">
        <v>0.0</v>
      </c>
      <c r="CN99" s="4">
        <v>0.0</v>
      </c>
      <c r="CO99" s="4">
        <v>0.0</v>
      </c>
      <c r="CP99" s="4">
        <v>0.0</v>
      </c>
      <c r="CQ99" s="4">
        <v>0.0</v>
      </c>
      <c r="CR99" s="4">
        <v>0.0</v>
      </c>
      <c r="CS99" s="4">
        <v>0.0</v>
      </c>
      <c r="CT99" s="4">
        <v>0.0</v>
      </c>
      <c r="CU99" s="4">
        <f t="shared" si="2"/>
        <v>5417</v>
      </c>
      <c r="CV99" s="4">
        <v>103.0</v>
      </c>
      <c r="CW99" s="4">
        <v>113.0</v>
      </c>
      <c r="CX99" s="4">
        <f t="shared" si="3"/>
        <v>216</v>
      </c>
    </row>
    <row r="100">
      <c r="A100" s="4">
        <v>99.0</v>
      </c>
      <c r="B100" s="12" t="s">
        <v>264</v>
      </c>
      <c r="C100" s="4" t="s">
        <v>265</v>
      </c>
      <c r="D100" s="4" t="s">
        <v>104</v>
      </c>
      <c r="E100" s="4">
        <v>2025.0</v>
      </c>
      <c r="F100" s="4">
        <v>8.68</v>
      </c>
      <c r="G100" s="4">
        <v>76.0</v>
      </c>
      <c r="H100" s="4">
        <v>275.0</v>
      </c>
      <c r="I100" s="4">
        <v>275.0</v>
      </c>
      <c r="J100" s="4">
        <v>240.0</v>
      </c>
      <c r="K100" s="4">
        <v>240.0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50.0</v>
      </c>
      <c r="U100" s="4">
        <v>50.0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  <c r="AG100" s="4">
        <v>0.0</v>
      </c>
      <c r="AH100" s="4">
        <v>0.0</v>
      </c>
      <c r="AI100" s="4">
        <v>0.0</v>
      </c>
      <c r="AJ100" s="4">
        <v>0.0</v>
      </c>
      <c r="AK100" s="4">
        <v>0.0</v>
      </c>
      <c r="AL100" s="4">
        <f t="shared" si="1"/>
        <v>1130</v>
      </c>
      <c r="AM100" s="4">
        <v>723.0</v>
      </c>
      <c r="AN100" s="4">
        <v>257.0</v>
      </c>
      <c r="AO100" s="4">
        <v>980.0</v>
      </c>
      <c r="AP100" s="4">
        <v>358.0</v>
      </c>
      <c r="AQ100" s="4">
        <v>581.0</v>
      </c>
      <c r="AR100" s="4">
        <v>41.0</v>
      </c>
      <c r="AS100" s="4">
        <v>286.0</v>
      </c>
      <c r="AT100" s="4">
        <v>635.0</v>
      </c>
      <c r="AU100" s="4">
        <v>211.0</v>
      </c>
      <c r="AV100" s="4">
        <v>542.0</v>
      </c>
      <c r="AW100" s="4">
        <v>51.0</v>
      </c>
      <c r="AX100" s="4">
        <v>117.0</v>
      </c>
      <c r="AY100" s="4">
        <v>0.0</v>
      </c>
      <c r="AZ100" s="4">
        <v>0.0</v>
      </c>
      <c r="BA100" s="4">
        <v>0.0</v>
      </c>
      <c r="BB100" s="4">
        <v>0.0</v>
      </c>
      <c r="BC100" s="4">
        <v>0.0</v>
      </c>
      <c r="BD100" s="4">
        <v>0.0</v>
      </c>
      <c r="BE100" s="4">
        <v>0.0</v>
      </c>
      <c r="BF100" s="4">
        <v>0.0</v>
      </c>
      <c r="BG100" s="4">
        <v>0.0</v>
      </c>
      <c r="BH100" s="4">
        <v>0.0</v>
      </c>
      <c r="BI100" s="4">
        <v>0.0</v>
      </c>
      <c r="BJ100" s="4">
        <v>0.0</v>
      </c>
      <c r="BK100" s="4">
        <v>18.0</v>
      </c>
      <c r="BL100" s="4">
        <v>8.0</v>
      </c>
      <c r="BM100" s="4">
        <v>26.0</v>
      </c>
      <c r="BN100" s="4">
        <v>0.0</v>
      </c>
      <c r="BO100" s="4">
        <v>26.0</v>
      </c>
      <c r="BP100" s="4">
        <v>0.0</v>
      </c>
      <c r="BQ100" s="4">
        <v>10.0</v>
      </c>
      <c r="BR100" s="4">
        <v>16.0</v>
      </c>
      <c r="BS100" s="4">
        <v>4.0</v>
      </c>
      <c r="BT100" s="4">
        <v>4.0</v>
      </c>
      <c r="BU100" s="4">
        <v>0.0</v>
      </c>
      <c r="BV100" s="4">
        <v>18.0</v>
      </c>
      <c r="BW100" s="4">
        <v>0.0</v>
      </c>
      <c r="BX100" s="4">
        <v>0.0</v>
      </c>
      <c r="BY100" s="4">
        <v>0.0</v>
      </c>
      <c r="BZ100" s="4">
        <v>0.0</v>
      </c>
      <c r="CA100" s="4">
        <v>0.0</v>
      </c>
      <c r="CB100" s="4">
        <v>0.0</v>
      </c>
      <c r="CC100" s="4">
        <v>0.0</v>
      </c>
      <c r="CD100" s="4">
        <v>0.0</v>
      </c>
      <c r="CE100" s="4">
        <v>0.0</v>
      </c>
      <c r="CF100" s="4">
        <v>0.0</v>
      </c>
      <c r="CG100" s="4">
        <v>0.0</v>
      </c>
      <c r="CH100" s="4">
        <v>0.0</v>
      </c>
      <c r="CI100" s="4">
        <v>0.0</v>
      </c>
      <c r="CJ100" s="4">
        <v>0.0</v>
      </c>
      <c r="CK100" s="4">
        <v>0.0</v>
      </c>
      <c r="CL100" s="4">
        <v>0.0</v>
      </c>
      <c r="CM100" s="4">
        <v>0.0</v>
      </c>
      <c r="CN100" s="4">
        <v>0.0</v>
      </c>
      <c r="CO100" s="4">
        <v>0.0</v>
      </c>
      <c r="CP100" s="4">
        <v>0.0</v>
      </c>
      <c r="CQ100" s="4">
        <v>0.0</v>
      </c>
      <c r="CR100" s="4">
        <v>0.0</v>
      </c>
      <c r="CS100" s="4">
        <v>0.0</v>
      </c>
      <c r="CT100" s="4">
        <v>0.0</v>
      </c>
      <c r="CU100" s="4">
        <f t="shared" si="2"/>
        <v>1006</v>
      </c>
      <c r="CV100" s="4">
        <v>176.0</v>
      </c>
      <c r="CW100" s="4">
        <v>81.0</v>
      </c>
      <c r="CX100" s="4">
        <f t="shared" si="3"/>
        <v>257</v>
      </c>
    </row>
    <row r="101">
      <c r="A101" s="4">
        <v>100.0</v>
      </c>
      <c r="B101" s="12" t="s">
        <v>266</v>
      </c>
      <c r="C101" s="4" t="s">
        <v>137</v>
      </c>
      <c r="D101" s="4" t="s">
        <v>2</v>
      </c>
      <c r="E101" s="4">
        <v>2025.0</v>
      </c>
      <c r="F101" s="4">
        <v>14.0</v>
      </c>
      <c r="G101" s="4">
        <v>404.0</v>
      </c>
      <c r="H101" s="4">
        <v>1542.0</v>
      </c>
      <c r="I101" s="4">
        <v>1362.0</v>
      </c>
      <c r="J101" s="4">
        <v>1080.0</v>
      </c>
      <c r="K101" s="4">
        <v>1140.0</v>
      </c>
      <c r="L101" s="4">
        <v>0.0</v>
      </c>
      <c r="M101" s="4">
        <v>0.0</v>
      </c>
      <c r="N101" s="4">
        <v>60.0</v>
      </c>
      <c r="O101" s="4">
        <v>60.0</v>
      </c>
      <c r="P101" s="4">
        <v>60.0</v>
      </c>
      <c r="Q101" s="4">
        <v>60.0</v>
      </c>
      <c r="R101" s="4">
        <v>60.0</v>
      </c>
      <c r="S101" s="4">
        <v>0.0</v>
      </c>
      <c r="T101" s="4">
        <v>39.0</v>
      </c>
      <c r="U101" s="4">
        <v>60.0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0.0</v>
      </c>
      <c r="AG101" s="4">
        <v>0.0</v>
      </c>
      <c r="AH101" s="4">
        <v>0.0</v>
      </c>
      <c r="AI101" s="4">
        <v>0.0</v>
      </c>
      <c r="AJ101" s="4">
        <v>0.0</v>
      </c>
      <c r="AK101" s="4">
        <v>0.0</v>
      </c>
      <c r="AL101" s="4">
        <f t="shared" si="1"/>
        <v>5523</v>
      </c>
      <c r="AM101" s="4">
        <v>3957.0</v>
      </c>
      <c r="AN101" s="4">
        <v>1414.0</v>
      </c>
      <c r="AO101" s="4">
        <v>5371.0</v>
      </c>
      <c r="AP101" s="4">
        <v>4831.0</v>
      </c>
      <c r="AQ101" s="4">
        <v>532.0</v>
      </c>
      <c r="AR101" s="4">
        <v>8.0</v>
      </c>
      <c r="AS101" s="4">
        <v>1853.0</v>
      </c>
      <c r="AT101" s="4">
        <v>3187.0</v>
      </c>
      <c r="AU101" s="4">
        <v>672.0</v>
      </c>
      <c r="AV101" s="4">
        <v>559.0</v>
      </c>
      <c r="AW101" s="4">
        <v>322.0</v>
      </c>
      <c r="AX101" s="4">
        <v>3487.0</v>
      </c>
      <c r="AY101" s="4">
        <v>173.0</v>
      </c>
      <c r="AZ101" s="4">
        <v>85.0</v>
      </c>
      <c r="BA101" s="4">
        <v>258.0</v>
      </c>
      <c r="BB101" s="4">
        <v>234.0</v>
      </c>
      <c r="BC101" s="4">
        <v>24.0</v>
      </c>
      <c r="BD101" s="4">
        <v>0.0</v>
      </c>
      <c r="BE101" s="4">
        <v>39.0</v>
      </c>
      <c r="BF101" s="4">
        <v>198.0</v>
      </c>
      <c r="BG101" s="4">
        <v>22.0</v>
      </c>
      <c r="BH101" s="4">
        <v>20.0</v>
      </c>
      <c r="BI101" s="4">
        <v>0.0</v>
      </c>
      <c r="BJ101" s="4">
        <v>195.0</v>
      </c>
      <c r="BK101" s="4">
        <v>22.0</v>
      </c>
      <c r="BL101" s="4">
        <v>28.0</v>
      </c>
      <c r="BM101" s="4">
        <v>50.0</v>
      </c>
      <c r="BN101" s="4">
        <v>35.0</v>
      </c>
      <c r="BO101" s="4">
        <v>15.0</v>
      </c>
      <c r="BP101" s="4">
        <v>0.0</v>
      </c>
      <c r="BQ101" s="4">
        <v>14.0</v>
      </c>
      <c r="BR101" s="4">
        <v>31.0</v>
      </c>
      <c r="BS101" s="4">
        <v>1.0</v>
      </c>
      <c r="BT101" s="4">
        <v>30.0</v>
      </c>
      <c r="BU101" s="4">
        <v>0.0</v>
      </c>
      <c r="BV101" s="4">
        <v>14.0</v>
      </c>
      <c r="BW101" s="4">
        <v>0.0</v>
      </c>
      <c r="BX101" s="4">
        <v>0.0</v>
      </c>
      <c r="BY101" s="4">
        <v>0.0</v>
      </c>
      <c r="BZ101" s="4">
        <v>0.0</v>
      </c>
      <c r="CA101" s="4">
        <v>0.0</v>
      </c>
      <c r="CB101" s="4">
        <v>0.0</v>
      </c>
      <c r="CC101" s="4">
        <v>0.0</v>
      </c>
      <c r="CD101" s="4">
        <v>0.0</v>
      </c>
      <c r="CE101" s="4">
        <v>0.0</v>
      </c>
      <c r="CF101" s="4">
        <v>0.0</v>
      </c>
      <c r="CG101" s="4">
        <v>0.0</v>
      </c>
      <c r="CH101" s="4">
        <v>0.0</v>
      </c>
      <c r="CI101" s="4">
        <v>0.0</v>
      </c>
      <c r="CJ101" s="4">
        <v>0.0</v>
      </c>
      <c r="CK101" s="4">
        <v>0.0</v>
      </c>
      <c r="CL101" s="4">
        <v>0.0</v>
      </c>
      <c r="CM101" s="4">
        <v>0.0</v>
      </c>
      <c r="CN101" s="4">
        <v>0.0</v>
      </c>
      <c r="CO101" s="4">
        <v>0.0</v>
      </c>
      <c r="CP101" s="4">
        <v>0.0</v>
      </c>
      <c r="CQ101" s="4">
        <v>0.0</v>
      </c>
      <c r="CR101" s="4">
        <v>0.0</v>
      </c>
      <c r="CS101" s="4">
        <v>0.0</v>
      </c>
      <c r="CT101" s="4">
        <v>0.0</v>
      </c>
      <c r="CU101" s="4">
        <f t="shared" si="2"/>
        <v>5679</v>
      </c>
      <c r="CV101" s="4">
        <v>36.0</v>
      </c>
      <c r="CW101" s="4">
        <v>70.0</v>
      </c>
      <c r="CX101" s="4">
        <f t="shared" si="3"/>
        <v>106</v>
      </c>
    </row>
    <row r="102">
      <c r="A102" s="14"/>
      <c r="B102" s="15"/>
    </row>
    <row r="103">
      <c r="A103" s="14"/>
      <c r="B103" s="15"/>
    </row>
    <row r="104">
      <c r="A104" s="14"/>
      <c r="B104" s="15"/>
    </row>
    <row r="105">
      <c r="A105" s="14"/>
      <c r="B105" s="15"/>
    </row>
    <row r="106">
      <c r="A106" s="14"/>
      <c r="B106" s="15"/>
    </row>
    <row r="107">
      <c r="A107" s="14"/>
      <c r="B107" s="15"/>
    </row>
    <row r="108">
      <c r="A108" s="14"/>
      <c r="B108" s="15"/>
    </row>
    <row r="109">
      <c r="A109" s="14"/>
      <c r="B109" s="15"/>
    </row>
    <row r="110">
      <c r="A110" s="14"/>
      <c r="B110" s="15"/>
    </row>
    <row r="111">
      <c r="A111" s="14"/>
      <c r="B111" s="15"/>
    </row>
    <row r="112">
      <c r="A112" s="14"/>
      <c r="B112" s="15"/>
    </row>
    <row r="113">
      <c r="A113" s="14"/>
      <c r="B113" s="15"/>
    </row>
    <row r="114">
      <c r="A114" s="14"/>
      <c r="B114" s="15"/>
    </row>
    <row r="115">
      <c r="A115" s="14"/>
      <c r="B115" s="15"/>
    </row>
    <row r="116">
      <c r="A116" s="14"/>
      <c r="B116" s="15"/>
    </row>
    <row r="117">
      <c r="A117" s="14"/>
      <c r="B117" s="15"/>
    </row>
    <row r="118">
      <c r="A118" s="14"/>
      <c r="B118" s="15"/>
    </row>
    <row r="119">
      <c r="A119" s="14"/>
      <c r="B119" s="15"/>
    </row>
    <row r="120">
      <c r="A120" s="14"/>
      <c r="B120" s="15"/>
    </row>
    <row r="121">
      <c r="A121" s="14"/>
      <c r="B121" s="15"/>
    </row>
    <row r="122">
      <c r="A122" s="14"/>
      <c r="B122" s="15"/>
    </row>
    <row r="123">
      <c r="A123" s="14"/>
      <c r="B123" s="15"/>
    </row>
    <row r="124">
      <c r="A124" s="14"/>
      <c r="B124" s="15"/>
    </row>
    <row r="125">
      <c r="A125" s="14"/>
      <c r="B125" s="15"/>
    </row>
    <row r="126">
      <c r="A126" s="14"/>
      <c r="B126" s="15"/>
    </row>
    <row r="127">
      <c r="A127" s="14"/>
      <c r="B127" s="15"/>
    </row>
    <row r="128">
      <c r="A128" s="14"/>
      <c r="B128" s="15"/>
    </row>
    <row r="129">
      <c r="A129" s="14"/>
      <c r="B129" s="15"/>
    </row>
    <row r="130">
      <c r="A130" s="14"/>
      <c r="B130" s="15"/>
    </row>
    <row r="131">
      <c r="A131" s="14"/>
      <c r="B131" s="15"/>
    </row>
    <row r="132">
      <c r="A132" s="14"/>
      <c r="B132" s="15"/>
    </row>
    <row r="133">
      <c r="A133" s="14"/>
      <c r="B133" s="15"/>
    </row>
    <row r="134">
      <c r="A134" s="14"/>
      <c r="B134" s="15"/>
    </row>
    <row r="135">
      <c r="A135" s="14"/>
      <c r="B135" s="15"/>
    </row>
    <row r="136">
      <c r="A136" s="14"/>
      <c r="B136" s="15"/>
    </row>
    <row r="137">
      <c r="A137" s="14"/>
      <c r="B137" s="15"/>
    </row>
    <row r="138">
      <c r="A138" s="14"/>
      <c r="B138" s="15"/>
    </row>
    <row r="139">
      <c r="A139" s="14"/>
      <c r="B139" s="15"/>
    </row>
    <row r="140">
      <c r="A140" s="14"/>
      <c r="B140" s="15"/>
    </row>
    <row r="141">
      <c r="A141" s="14"/>
      <c r="B141" s="15"/>
    </row>
    <row r="142">
      <c r="A142" s="14"/>
      <c r="B142" s="15"/>
    </row>
    <row r="143">
      <c r="A143" s="14"/>
      <c r="B143" s="15"/>
    </row>
    <row r="144">
      <c r="A144" s="14"/>
      <c r="B144" s="15"/>
    </row>
    <row r="145">
      <c r="A145" s="14"/>
      <c r="B145" s="15"/>
    </row>
    <row r="146">
      <c r="A146" s="14"/>
      <c r="B146" s="15"/>
    </row>
    <row r="147">
      <c r="A147" s="14"/>
      <c r="B147" s="15"/>
    </row>
    <row r="148">
      <c r="A148" s="14"/>
      <c r="B148" s="15"/>
    </row>
    <row r="149">
      <c r="A149" s="14"/>
      <c r="B149" s="15"/>
    </row>
    <row r="150">
      <c r="A150" s="14"/>
      <c r="B150" s="15"/>
    </row>
    <row r="151">
      <c r="A151" s="14"/>
      <c r="B151" s="15"/>
    </row>
    <row r="152">
      <c r="A152" s="14"/>
      <c r="B152" s="15"/>
    </row>
    <row r="153">
      <c r="A153" s="14"/>
      <c r="B153" s="15"/>
    </row>
    <row r="154">
      <c r="A154" s="14"/>
      <c r="B154" s="15"/>
    </row>
    <row r="155">
      <c r="A155" s="14"/>
      <c r="B155" s="15"/>
    </row>
    <row r="156">
      <c r="A156" s="14"/>
      <c r="B156" s="15"/>
    </row>
    <row r="157">
      <c r="A157" s="14"/>
      <c r="B157" s="15"/>
    </row>
    <row r="158">
      <c r="A158" s="14"/>
      <c r="B158" s="15"/>
    </row>
    <row r="159">
      <c r="A159" s="14"/>
      <c r="B159" s="15"/>
    </row>
    <row r="160">
      <c r="A160" s="14"/>
      <c r="B160" s="15"/>
    </row>
    <row r="161">
      <c r="A161" s="14"/>
      <c r="B161" s="15"/>
    </row>
    <row r="162">
      <c r="A162" s="14"/>
      <c r="B162" s="15"/>
    </row>
    <row r="163">
      <c r="A163" s="14"/>
      <c r="B163" s="15"/>
    </row>
    <row r="164">
      <c r="A164" s="14"/>
      <c r="B164" s="15"/>
    </row>
    <row r="165">
      <c r="A165" s="14"/>
      <c r="B165" s="15"/>
    </row>
    <row r="166">
      <c r="A166" s="14"/>
      <c r="B166" s="15"/>
    </row>
    <row r="167">
      <c r="A167" s="14"/>
      <c r="B167" s="15"/>
    </row>
    <row r="168">
      <c r="A168" s="14"/>
      <c r="B168" s="15"/>
    </row>
    <row r="169">
      <c r="A169" s="14"/>
      <c r="B169" s="15"/>
    </row>
    <row r="170">
      <c r="A170" s="14"/>
      <c r="B170" s="15"/>
    </row>
    <row r="171">
      <c r="A171" s="14"/>
      <c r="B171" s="15"/>
    </row>
    <row r="172">
      <c r="A172" s="14"/>
      <c r="B172" s="15"/>
    </row>
    <row r="173">
      <c r="A173" s="14"/>
      <c r="B173" s="15"/>
    </row>
    <row r="174">
      <c r="A174" s="14"/>
      <c r="B174" s="15"/>
    </row>
    <row r="175">
      <c r="A175" s="14"/>
      <c r="B175" s="15"/>
    </row>
    <row r="176">
      <c r="A176" s="14"/>
      <c r="B176" s="15"/>
    </row>
    <row r="177">
      <c r="A177" s="14"/>
      <c r="B177" s="15"/>
    </row>
    <row r="178">
      <c r="A178" s="14"/>
      <c r="B178" s="15"/>
    </row>
    <row r="179">
      <c r="A179" s="14"/>
      <c r="B179" s="15"/>
    </row>
    <row r="180">
      <c r="A180" s="14"/>
      <c r="B180" s="15"/>
    </row>
    <row r="181">
      <c r="A181" s="14"/>
      <c r="B181" s="15"/>
    </row>
    <row r="182">
      <c r="A182" s="14"/>
      <c r="B182" s="15"/>
    </row>
    <row r="183">
      <c r="A183" s="14"/>
      <c r="B183" s="15"/>
    </row>
    <row r="184">
      <c r="A184" s="14"/>
      <c r="B184" s="15"/>
    </row>
    <row r="185">
      <c r="A185" s="14"/>
      <c r="B185" s="15"/>
    </row>
    <row r="186">
      <c r="A186" s="14"/>
      <c r="B186" s="15"/>
    </row>
    <row r="187">
      <c r="A187" s="14"/>
      <c r="B187" s="15"/>
    </row>
    <row r="188">
      <c r="A188" s="14"/>
      <c r="B188" s="15"/>
    </row>
    <row r="189">
      <c r="A189" s="14"/>
      <c r="B189" s="15"/>
    </row>
    <row r="190">
      <c r="A190" s="14"/>
      <c r="B190" s="15"/>
    </row>
    <row r="191">
      <c r="A191" s="14"/>
      <c r="B191" s="15"/>
    </row>
    <row r="192">
      <c r="A192" s="14"/>
      <c r="B192" s="15"/>
    </row>
    <row r="193">
      <c r="A193" s="14"/>
      <c r="B193" s="15"/>
    </row>
    <row r="194">
      <c r="A194" s="14"/>
      <c r="B194" s="15"/>
    </row>
    <row r="195">
      <c r="A195" s="14"/>
      <c r="B195" s="15"/>
    </row>
    <row r="196">
      <c r="A196" s="14"/>
      <c r="B196" s="15"/>
    </row>
    <row r="197">
      <c r="A197" s="14"/>
      <c r="B197" s="15"/>
    </row>
    <row r="198">
      <c r="A198" s="14"/>
      <c r="B198" s="15"/>
    </row>
    <row r="199">
      <c r="A199" s="14"/>
      <c r="B199" s="15"/>
    </row>
    <row r="200">
      <c r="A200" s="14"/>
      <c r="B200" s="15"/>
    </row>
    <row r="201">
      <c r="A201" s="14"/>
      <c r="B201" s="15"/>
    </row>
    <row r="202">
      <c r="A202" s="14"/>
      <c r="B202" s="15"/>
    </row>
    <row r="203">
      <c r="A203" s="14"/>
      <c r="B203" s="15"/>
    </row>
    <row r="204">
      <c r="A204" s="14"/>
      <c r="B204" s="15"/>
    </row>
    <row r="205">
      <c r="A205" s="14"/>
      <c r="B205" s="15"/>
    </row>
    <row r="206">
      <c r="A206" s="14"/>
      <c r="B206" s="15"/>
    </row>
    <row r="207">
      <c r="A207" s="14"/>
      <c r="B207" s="15"/>
    </row>
    <row r="208">
      <c r="A208" s="14"/>
      <c r="B208" s="15"/>
    </row>
    <row r="209">
      <c r="A209" s="14"/>
      <c r="B209" s="15"/>
    </row>
    <row r="210">
      <c r="A210" s="14"/>
      <c r="B210" s="15"/>
    </row>
    <row r="211">
      <c r="A211" s="14"/>
      <c r="B211" s="15"/>
    </row>
    <row r="212">
      <c r="A212" s="14"/>
      <c r="B212" s="15"/>
    </row>
    <row r="213">
      <c r="A213" s="14"/>
      <c r="B213" s="15"/>
    </row>
    <row r="214">
      <c r="A214" s="14"/>
      <c r="B214" s="15"/>
    </row>
    <row r="215">
      <c r="A215" s="14"/>
      <c r="B215" s="15"/>
    </row>
    <row r="216">
      <c r="A216" s="14"/>
      <c r="B216" s="15"/>
    </row>
    <row r="217">
      <c r="A217" s="14"/>
      <c r="B217" s="15"/>
    </row>
    <row r="218">
      <c r="A218" s="14"/>
      <c r="B218" s="15"/>
    </row>
    <row r="219">
      <c r="A219" s="14"/>
      <c r="B219" s="15"/>
    </row>
    <row r="220">
      <c r="A220" s="14"/>
      <c r="B220" s="15"/>
    </row>
    <row r="221">
      <c r="A221" s="14"/>
      <c r="B221" s="15"/>
    </row>
    <row r="222">
      <c r="A222" s="14"/>
      <c r="B222" s="15"/>
    </row>
    <row r="223">
      <c r="A223" s="14"/>
      <c r="B223" s="15"/>
    </row>
    <row r="224">
      <c r="A224" s="14"/>
      <c r="B224" s="15"/>
    </row>
    <row r="225">
      <c r="A225" s="14"/>
      <c r="B225" s="15"/>
    </row>
    <row r="226">
      <c r="A226" s="14"/>
      <c r="B226" s="15"/>
    </row>
    <row r="227">
      <c r="A227" s="14"/>
      <c r="B227" s="15"/>
    </row>
    <row r="228">
      <c r="A228" s="14"/>
      <c r="B228" s="15"/>
    </row>
    <row r="229">
      <c r="A229" s="14"/>
      <c r="B229" s="15"/>
    </row>
    <row r="230">
      <c r="A230" s="14"/>
      <c r="B230" s="15"/>
    </row>
    <row r="231">
      <c r="A231" s="14"/>
      <c r="B231" s="15"/>
    </row>
    <row r="232">
      <c r="A232" s="14"/>
      <c r="B232" s="15"/>
    </row>
    <row r="233">
      <c r="A233" s="14"/>
      <c r="B233" s="15"/>
    </row>
    <row r="234">
      <c r="A234" s="14"/>
      <c r="B234" s="15"/>
    </row>
    <row r="235">
      <c r="A235" s="14"/>
      <c r="B235" s="15"/>
    </row>
    <row r="236">
      <c r="A236" s="14"/>
      <c r="B236" s="15"/>
    </row>
    <row r="237">
      <c r="A237" s="14"/>
      <c r="B237" s="15"/>
    </row>
    <row r="238">
      <c r="A238" s="14"/>
      <c r="B238" s="15"/>
    </row>
    <row r="239">
      <c r="A239" s="14"/>
      <c r="B239" s="15"/>
    </row>
    <row r="240">
      <c r="A240" s="14"/>
      <c r="B240" s="15"/>
    </row>
    <row r="241">
      <c r="A241" s="14"/>
      <c r="B241" s="15"/>
    </row>
    <row r="242">
      <c r="A242" s="14"/>
      <c r="B242" s="15"/>
    </row>
    <row r="243">
      <c r="A243" s="14"/>
      <c r="B243" s="15"/>
    </row>
    <row r="244">
      <c r="A244" s="14"/>
      <c r="B244" s="15"/>
    </row>
    <row r="245">
      <c r="A245" s="14"/>
      <c r="B245" s="15"/>
    </row>
    <row r="246">
      <c r="A246" s="14"/>
      <c r="B246" s="15"/>
    </row>
    <row r="247">
      <c r="A247" s="14"/>
      <c r="B247" s="15"/>
    </row>
    <row r="248">
      <c r="A248" s="14"/>
      <c r="B248" s="15"/>
    </row>
    <row r="249">
      <c r="A249" s="14"/>
      <c r="B249" s="15"/>
    </row>
    <row r="250">
      <c r="A250" s="14"/>
      <c r="B250" s="15"/>
    </row>
    <row r="251">
      <c r="A251" s="14"/>
      <c r="B251" s="15"/>
    </row>
    <row r="252">
      <c r="A252" s="14"/>
      <c r="B252" s="15"/>
    </row>
    <row r="253">
      <c r="A253" s="14"/>
      <c r="B253" s="15"/>
    </row>
    <row r="254">
      <c r="A254" s="14"/>
      <c r="B254" s="15"/>
    </row>
    <row r="255">
      <c r="A255" s="14"/>
      <c r="B255" s="15"/>
    </row>
    <row r="256">
      <c r="A256" s="14"/>
      <c r="B256" s="15"/>
    </row>
    <row r="257">
      <c r="A257" s="14"/>
      <c r="B257" s="15"/>
    </row>
    <row r="258">
      <c r="A258" s="14"/>
      <c r="B258" s="15"/>
    </row>
    <row r="259">
      <c r="A259" s="14"/>
      <c r="B259" s="15"/>
    </row>
    <row r="260">
      <c r="A260" s="14"/>
      <c r="B260" s="15"/>
    </row>
    <row r="261">
      <c r="A261" s="14"/>
      <c r="B261" s="15"/>
    </row>
    <row r="262">
      <c r="A262" s="14"/>
      <c r="B262" s="15"/>
    </row>
    <row r="263">
      <c r="A263" s="14"/>
      <c r="B263" s="15"/>
    </row>
    <row r="264">
      <c r="A264" s="14"/>
      <c r="B264" s="15"/>
    </row>
    <row r="265">
      <c r="A265" s="14"/>
      <c r="B265" s="15"/>
    </row>
    <row r="266">
      <c r="A266" s="14"/>
      <c r="B266" s="15"/>
    </row>
    <row r="267">
      <c r="A267" s="14"/>
      <c r="B267" s="15"/>
    </row>
    <row r="268">
      <c r="A268" s="14"/>
      <c r="B268" s="15"/>
    </row>
    <row r="269">
      <c r="A269" s="14"/>
      <c r="B269" s="15"/>
    </row>
    <row r="270">
      <c r="A270" s="14"/>
      <c r="B270" s="15"/>
    </row>
    <row r="271">
      <c r="A271" s="14"/>
      <c r="B271" s="15"/>
    </row>
    <row r="272">
      <c r="A272" s="14"/>
      <c r="B272" s="15"/>
    </row>
    <row r="273">
      <c r="A273" s="14"/>
      <c r="B273" s="15"/>
    </row>
    <row r="274">
      <c r="A274" s="14"/>
      <c r="B274" s="15"/>
    </row>
    <row r="275">
      <c r="A275" s="14"/>
      <c r="B275" s="15"/>
    </row>
    <row r="276">
      <c r="A276" s="14"/>
      <c r="B276" s="15"/>
    </row>
    <row r="277">
      <c r="A277" s="14"/>
      <c r="B277" s="15"/>
    </row>
    <row r="278">
      <c r="A278" s="14"/>
      <c r="B278" s="15"/>
    </row>
    <row r="279">
      <c r="A279" s="14"/>
      <c r="B279" s="15"/>
    </row>
    <row r="280">
      <c r="A280" s="14"/>
      <c r="B280" s="15"/>
    </row>
    <row r="281">
      <c r="A281" s="14"/>
      <c r="B281" s="15"/>
    </row>
    <row r="282">
      <c r="A282" s="14"/>
      <c r="B282" s="15"/>
    </row>
    <row r="283">
      <c r="A283" s="14"/>
      <c r="B283" s="15"/>
    </row>
    <row r="284">
      <c r="A284" s="14"/>
      <c r="B284" s="15"/>
    </row>
    <row r="285">
      <c r="A285" s="14"/>
      <c r="B285" s="15"/>
    </row>
    <row r="286">
      <c r="A286" s="14"/>
      <c r="B286" s="15"/>
    </row>
    <row r="287">
      <c r="A287" s="14"/>
      <c r="B287" s="15"/>
    </row>
    <row r="288">
      <c r="A288" s="14"/>
      <c r="B288" s="15"/>
    </row>
    <row r="289">
      <c r="A289" s="14"/>
      <c r="B289" s="15"/>
    </row>
    <row r="290">
      <c r="A290" s="14"/>
      <c r="B290" s="15"/>
    </row>
    <row r="291">
      <c r="A291" s="14"/>
      <c r="B291" s="15"/>
    </row>
    <row r="292">
      <c r="A292" s="14"/>
      <c r="B292" s="15"/>
    </row>
    <row r="293">
      <c r="A293" s="14"/>
      <c r="B293" s="15"/>
    </row>
    <row r="294">
      <c r="A294" s="14"/>
      <c r="B294" s="15"/>
    </row>
    <row r="295">
      <c r="A295" s="14"/>
      <c r="B295" s="15"/>
    </row>
    <row r="296">
      <c r="A296" s="14"/>
      <c r="B296" s="15"/>
    </row>
    <row r="297">
      <c r="A297" s="14"/>
      <c r="B297" s="15"/>
    </row>
    <row r="298">
      <c r="A298" s="14"/>
      <c r="B298" s="15"/>
    </row>
    <row r="299">
      <c r="A299" s="14"/>
      <c r="B299" s="15"/>
    </row>
    <row r="300">
      <c r="A300" s="14"/>
      <c r="B300" s="15"/>
    </row>
    <row r="301">
      <c r="A301" s="14"/>
      <c r="B301" s="15"/>
    </row>
    <row r="302">
      <c r="A302" s="14"/>
      <c r="B302" s="15"/>
    </row>
    <row r="303">
      <c r="A303" s="14"/>
      <c r="B303" s="15"/>
    </row>
    <row r="304">
      <c r="A304" s="14"/>
      <c r="B304" s="15"/>
    </row>
    <row r="305">
      <c r="A305" s="14"/>
      <c r="B305" s="15"/>
    </row>
    <row r="306">
      <c r="A306" s="14"/>
      <c r="B306" s="15"/>
    </row>
    <row r="307">
      <c r="A307" s="14"/>
      <c r="B307" s="15"/>
    </row>
    <row r="308">
      <c r="A308" s="14"/>
      <c r="B308" s="15"/>
    </row>
    <row r="309">
      <c r="A309" s="14"/>
      <c r="B309" s="15"/>
    </row>
    <row r="310">
      <c r="A310" s="14"/>
      <c r="B310" s="15"/>
    </row>
    <row r="311">
      <c r="A311" s="14"/>
      <c r="B311" s="15"/>
    </row>
    <row r="312">
      <c r="A312" s="14"/>
      <c r="B312" s="15"/>
    </row>
    <row r="313">
      <c r="A313" s="14"/>
      <c r="B313" s="15"/>
    </row>
    <row r="314">
      <c r="A314" s="14"/>
      <c r="B314" s="15"/>
    </row>
    <row r="315">
      <c r="A315" s="14"/>
      <c r="B315" s="15"/>
    </row>
    <row r="316">
      <c r="A316" s="14"/>
      <c r="B316" s="15"/>
    </row>
    <row r="317">
      <c r="A317" s="14"/>
      <c r="B317" s="15"/>
    </row>
    <row r="318">
      <c r="A318" s="14"/>
      <c r="B318" s="15"/>
    </row>
    <row r="319">
      <c r="A319" s="14"/>
      <c r="B319" s="15"/>
    </row>
    <row r="320">
      <c r="A320" s="14"/>
      <c r="B320" s="15"/>
    </row>
    <row r="321">
      <c r="A321" s="14"/>
      <c r="B321" s="15"/>
    </row>
    <row r="322">
      <c r="A322" s="14"/>
      <c r="B322" s="15"/>
    </row>
    <row r="323">
      <c r="A323" s="14"/>
      <c r="B323" s="15"/>
    </row>
    <row r="324">
      <c r="A324" s="14"/>
      <c r="B324" s="15"/>
    </row>
    <row r="325">
      <c r="A325" s="14"/>
      <c r="B325" s="15"/>
    </row>
    <row r="326">
      <c r="A326" s="14"/>
      <c r="B326" s="15"/>
    </row>
    <row r="327">
      <c r="A327" s="14"/>
      <c r="B327" s="15"/>
    </row>
    <row r="328">
      <c r="A328" s="14"/>
      <c r="B328" s="15"/>
    </row>
    <row r="329">
      <c r="A329" s="14"/>
      <c r="B329" s="15"/>
    </row>
    <row r="330">
      <c r="A330" s="14"/>
      <c r="B330" s="15"/>
    </row>
    <row r="331">
      <c r="A331" s="14"/>
      <c r="B331" s="15"/>
    </row>
    <row r="332">
      <c r="A332" s="14"/>
      <c r="B332" s="15"/>
    </row>
    <row r="333">
      <c r="A333" s="14"/>
      <c r="B333" s="15"/>
    </row>
    <row r="334">
      <c r="A334" s="14"/>
      <c r="B334" s="15"/>
    </row>
    <row r="335">
      <c r="A335" s="14"/>
      <c r="B335" s="15"/>
    </row>
    <row r="336">
      <c r="A336" s="14"/>
      <c r="B336" s="15"/>
    </row>
    <row r="337">
      <c r="A337" s="14"/>
      <c r="B337" s="15"/>
    </row>
    <row r="338">
      <c r="A338" s="14"/>
      <c r="B338" s="15"/>
    </row>
    <row r="339">
      <c r="A339" s="14"/>
      <c r="B339" s="15"/>
    </row>
    <row r="340">
      <c r="A340" s="14"/>
      <c r="B340" s="15"/>
    </row>
    <row r="341">
      <c r="A341" s="14"/>
      <c r="B341" s="15"/>
    </row>
    <row r="342">
      <c r="A342" s="14"/>
      <c r="B342" s="15"/>
    </row>
    <row r="343">
      <c r="A343" s="14"/>
      <c r="B343" s="15"/>
    </row>
    <row r="344">
      <c r="A344" s="14"/>
      <c r="B344" s="15"/>
    </row>
    <row r="345">
      <c r="A345" s="14"/>
      <c r="B345" s="15"/>
    </row>
    <row r="346">
      <c r="A346" s="14"/>
      <c r="B346" s="15"/>
    </row>
    <row r="347">
      <c r="A347" s="14"/>
      <c r="B347" s="15"/>
    </row>
    <row r="348">
      <c r="A348" s="14"/>
      <c r="B348" s="15"/>
    </row>
    <row r="349">
      <c r="A349" s="14"/>
      <c r="B349" s="15"/>
    </row>
    <row r="350">
      <c r="A350" s="14"/>
      <c r="B350" s="15"/>
    </row>
    <row r="351">
      <c r="A351" s="14"/>
      <c r="B351" s="15"/>
    </row>
    <row r="352">
      <c r="A352" s="14"/>
      <c r="B352" s="15"/>
    </row>
    <row r="353">
      <c r="A353" s="14"/>
      <c r="B353" s="15"/>
    </row>
    <row r="354">
      <c r="A354" s="14"/>
      <c r="B354" s="15"/>
    </row>
    <row r="355">
      <c r="A355" s="14"/>
      <c r="B355" s="15"/>
    </row>
    <row r="356">
      <c r="A356" s="14"/>
      <c r="B356" s="15"/>
    </row>
    <row r="357">
      <c r="A357" s="14"/>
      <c r="B357" s="15"/>
    </row>
    <row r="358">
      <c r="A358" s="14"/>
      <c r="B358" s="15"/>
    </row>
    <row r="359">
      <c r="A359" s="14"/>
      <c r="B359" s="15"/>
    </row>
    <row r="360">
      <c r="A360" s="14"/>
      <c r="B360" s="15"/>
    </row>
    <row r="361">
      <c r="A361" s="14"/>
      <c r="B361" s="15"/>
    </row>
    <row r="362">
      <c r="A362" s="14"/>
      <c r="B362" s="15"/>
    </row>
    <row r="363">
      <c r="A363" s="14"/>
      <c r="B363" s="15"/>
    </row>
    <row r="364">
      <c r="A364" s="14"/>
      <c r="B364" s="15"/>
    </row>
    <row r="365">
      <c r="A365" s="14"/>
      <c r="B365" s="15"/>
    </row>
    <row r="366">
      <c r="A366" s="14"/>
      <c r="B366" s="15"/>
    </row>
    <row r="367">
      <c r="A367" s="14"/>
      <c r="B367" s="15"/>
    </row>
    <row r="368">
      <c r="A368" s="14"/>
      <c r="B368" s="15"/>
    </row>
    <row r="369">
      <c r="A369" s="14"/>
      <c r="B369" s="15"/>
    </row>
    <row r="370">
      <c r="A370" s="14"/>
      <c r="B370" s="15"/>
    </row>
    <row r="371">
      <c r="A371" s="14"/>
      <c r="B371" s="15"/>
    </row>
    <row r="372">
      <c r="A372" s="14"/>
      <c r="B372" s="15"/>
    </row>
    <row r="373">
      <c r="A373" s="14"/>
      <c r="B373" s="15"/>
    </row>
    <row r="374">
      <c r="A374" s="14"/>
      <c r="B374" s="15"/>
    </row>
    <row r="375">
      <c r="A375" s="14"/>
      <c r="B375" s="15"/>
    </row>
    <row r="376">
      <c r="A376" s="14"/>
      <c r="B376" s="15"/>
    </row>
    <row r="377">
      <c r="A377" s="14"/>
      <c r="B377" s="15"/>
    </row>
    <row r="378">
      <c r="A378" s="14"/>
      <c r="B378" s="15"/>
    </row>
    <row r="379">
      <c r="A379" s="14"/>
      <c r="B379" s="15"/>
    </row>
    <row r="380">
      <c r="A380" s="14"/>
      <c r="B380" s="15"/>
    </row>
    <row r="381">
      <c r="A381" s="14"/>
      <c r="B381" s="15"/>
    </row>
    <row r="382">
      <c r="A382" s="14"/>
      <c r="B382" s="15"/>
    </row>
    <row r="383">
      <c r="A383" s="14"/>
      <c r="B383" s="15"/>
    </row>
    <row r="384">
      <c r="A384" s="14"/>
      <c r="B384" s="15"/>
    </row>
    <row r="385">
      <c r="A385" s="14"/>
      <c r="B385" s="15"/>
    </row>
    <row r="386">
      <c r="A386" s="14"/>
      <c r="B386" s="15"/>
    </row>
    <row r="387">
      <c r="A387" s="14"/>
      <c r="B387" s="15"/>
    </row>
    <row r="388">
      <c r="A388" s="14"/>
      <c r="B388" s="15"/>
    </row>
    <row r="389">
      <c r="A389" s="14"/>
      <c r="B389" s="15"/>
    </row>
    <row r="390">
      <c r="A390" s="14"/>
      <c r="B390" s="15"/>
    </row>
    <row r="391">
      <c r="A391" s="14"/>
      <c r="B391" s="15"/>
    </row>
    <row r="392">
      <c r="A392" s="14"/>
      <c r="B392" s="15"/>
    </row>
    <row r="393">
      <c r="A393" s="14"/>
      <c r="B393" s="15"/>
    </row>
    <row r="394">
      <c r="A394" s="14"/>
      <c r="B394" s="15"/>
    </row>
    <row r="395">
      <c r="A395" s="14"/>
      <c r="B395" s="15"/>
    </row>
    <row r="396">
      <c r="A396" s="14"/>
      <c r="B396" s="15"/>
    </row>
    <row r="397">
      <c r="A397" s="14"/>
      <c r="B397" s="15"/>
    </row>
    <row r="398">
      <c r="A398" s="14"/>
      <c r="B398" s="15"/>
    </row>
    <row r="399">
      <c r="A399" s="14"/>
      <c r="B399" s="15"/>
    </row>
    <row r="400">
      <c r="A400" s="14"/>
      <c r="B400" s="15"/>
    </row>
    <row r="401">
      <c r="A401" s="14"/>
      <c r="B401" s="15"/>
    </row>
    <row r="402">
      <c r="A402" s="14"/>
      <c r="B402" s="15"/>
    </row>
    <row r="403">
      <c r="A403" s="14"/>
      <c r="B403" s="15"/>
    </row>
    <row r="404">
      <c r="A404" s="14"/>
      <c r="B404" s="15"/>
    </row>
    <row r="405">
      <c r="A405" s="14"/>
      <c r="B405" s="15"/>
    </row>
    <row r="406">
      <c r="A406" s="14"/>
      <c r="B406" s="15"/>
    </row>
    <row r="407">
      <c r="A407" s="14"/>
      <c r="B407" s="15"/>
    </row>
    <row r="408">
      <c r="A408" s="14"/>
      <c r="B408" s="15"/>
    </row>
    <row r="409">
      <c r="A409" s="14"/>
      <c r="B409" s="15"/>
    </row>
    <row r="410">
      <c r="A410" s="14"/>
      <c r="B410" s="15"/>
    </row>
    <row r="411">
      <c r="A411" s="14"/>
      <c r="B411" s="15"/>
    </row>
    <row r="412">
      <c r="A412" s="14"/>
      <c r="B412" s="15"/>
    </row>
    <row r="413">
      <c r="A413" s="14"/>
      <c r="B413" s="15"/>
    </row>
    <row r="414">
      <c r="A414" s="14"/>
      <c r="B414" s="15"/>
    </row>
    <row r="415">
      <c r="A415" s="14"/>
      <c r="B415" s="15"/>
    </row>
    <row r="416">
      <c r="A416" s="14"/>
      <c r="B416" s="15"/>
    </row>
    <row r="417">
      <c r="A417" s="14"/>
      <c r="B417" s="15"/>
    </row>
    <row r="418">
      <c r="A418" s="14"/>
      <c r="B418" s="15"/>
    </row>
    <row r="419">
      <c r="A419" s="14"/>
      <c r="B419" s="15"/>
    </row>
    <row r="420">
      <c r="A420" s="14"/>
      <c r="B420" s="15"/>
    </row>
    <row r="421">
      <c r="A421" s="14"/>
      <c r="B421" s="15"/>
    </row>
    <row r="422">
      <c r="A422" s="14"/>
      <c r="B422" s="15"/>
    </row>
    <row r="423">
      <c r="A423" s="14"/>
      <c r="B423" s="15"/>
    </row>
    <row r="424">
      <c r="A424" s="14"/>
      <c r="B424" s="15"/>
    </row>
    <row r="425">
      <c r="A425" s="14"/>
      <c r="B425" s="15"/>
    </row>
    <row r="426">
      <c r="A426" s="14"/>
      <c r="B426" s="15"/>
    </row>
    <row r="427">
      <c r="A427" s="14"/>
      <c r="B427" s="15"/>
    </row>
    <row r="428">
      <c r="A428" s="14"/>
      <c r="B428" s="15"/>
    </row>
    <row r="429">
      <c r="A429" s="14"/>
      <c r="B429" s="15"/>
    </row>
    <row r="430">
      <c r="A430" s="14"/>
      <c r="B430" s="15"/>
    </row>
    <row r="431">
      <c r="A431" s="14"/>
      <c r="B431" s="15"/>
    </row>
    <row r="432">
      <c r="A432" s="14"/>
      <c r="B432" s="15"/>
    </row>
    <row r="433">
      <c r="A433" s="14"/>
      <c r="B433" s="15"/>
    </row>
    <row r="434">
      <c r="A434" s="14"/>
      <c r="B434" s="15"/>
    </row>
    <row r="435">
      <c r="A435" s="14"/>
      <c r="B435" s="15"/>
    </row>
    <row r="436">
      <c r="A436" s="14"/>
      <c r="B436" s="15"/>
    </row>
    <row r="437">
      <c r="A437" s="14"/>
      <c r="B437" s="15"/>
    </row>
    <row r="438">
      <c r="A438" s="14"/>
      <c r="B438" s="15"/>
    </row>
    <row r="439">
      <c r="A439" s="14"/>
      <c r="B439" s="15"/>
    </row>
    <row r="440">
      <c r="A440" s="14"/>
      <c r="B440" s="15"/>
    </row>
    <row r="441">
      <c r="A441" s="14"/>
      <c r="B441" s="15"/>
    </row>
    <row r="442">
      <c r="A442" s="14"/>
      <c r="B442" s="15"/>
    </row>
    <row r="443">
      <c r="A443" s="14"/>
      <c r="B443" s="15"/>
    </row>
    <row r="444">
      <c r="A444" s="14"/>
      <c r="B444" s="15"/>
    </row>
    <row r="445">
      <c r="A445" s="14"/>
      <c r="B445" s="15"/>
    </row>
    <row r="446">
      <c r="A446" s="14"/>
      <c r="B446" s="15"/>
    </row>
    <row r="447">
      <c r="A447" s="14"/>
      <c r="B447" s="15"/>
    </row>
    <row r="448">
      <c r="A448" s="14"/>
      <c r="B448" s="15"/>
    </row>
    <row r="449">
      <c r="A449" s="14"/>
      <c r="B449" s="15"/>
    </row>
    <row r="450">
      <c r="A450" s="14"/>
      <c r="B450" s="15"/>
    </row>
    <row r="451">
      <c r="A451" s="14"/>
      <c r="B451" s="15"/>
    </row>
    <row r="452">
      <c r="A452" s="14"/>
      <c r="B452" s="15"/>
    </row>
    <row r="453">
      <c r="A453" s="14"/>
      <c r="B453" s="15"/>
    </row>
    <row r="454">
      <c r="A454" s="14"/>
      <c r="B454" s="15"/>
    </row>
    <row r="455">
      <c r="A455" s="14"/>
      <c r="B455" s="15"/>
    </row>
    <row r="456">
      <c r="A456" s="14"/>
      <c r="B456" s="15"/>
    </row>
    <row r="457">
      <c r="A457" s="14"/>
      <c r="B457" s="15"/>
    </row>
    <row r="458">
      <c r="A458" s="14"/>
      <c r="B458" s="15"/>
    </row>
    <row r="459">
      <c r="A459" s="14"/>
      <c r="B459" s="15"/>
    </row>
    <row r="460">
      <c r="A460" s="14"/>
      <c r="B460" s="15"/>
    </row>
    <row r="461">
      <c r="A461" s="14"/>
      <c r="B461" s="15"/>
    </row>
    <row r="462">
      <c r="A462" s="14"/>
      <c r="B462" s="15"/>
    </row>
    <row r="463">
      <c r="A463" s="14"/>
      <c r="B463" s="15"/>
    </row>
    <row r="464">
      <c r="A464" s="14"/>
      <c r="B464" s="15"/>
    </row>
    <row r="465">
      <c r="A465" s="14"/>
      <c r="B465" s="15"/>
    </row>
    <row r="466">
      <c r="A466" s="14"/>
      <c r="B466" s="15"/>
    </row>
    <row r="467">
      <c r="A467" s="14"/>
      <c r="B467" s="15"/>
    </row>
    <row r="468">
      <c r="A468" s="14"/>
      <c r="B468" s="15"/>
    </row>
    <row r="469">
      <c r="A469" s="14"/>
      <c r="B469" s="15"/>
    </row>
    <row r="470">
      <c r="A470" s="14"/>
      <c r="B470" s="15"/>
    </row>
    <row r="471">
      <c r="A471" s="14"/>
      <c r="B471" s="15"/>
    </row>
    <row r="472">
      <c r="A472" s="14"/>
      <c r="B472" s="15"/>
    </row>
    <row r="473">
      <c r="A473" s="14"/>
      <c r="B473" s="15"/>
    </row>
    <row r="474">
      <c r="A474" s="14"/>
      <c r="B474" s="15"/>
    </row>
    <row r="475">
      <c r="A475" s="14"/>
      <c r="B475" s="15"/>
    </row>
    <row r="476">
      <c r="A476" s="14"/>
      <c r="B476" s="15"/>
    </row>
    <row r="477">
      <c r="A477" s="14"/>
      <c r="B477" s="15"/>
    </row>
    <row r="478">
      <c r="A478" s="14"/>
      <c r="B478" s="15"/>
    </row>
    <row r="479">
      <c r="A479" s="14"/>
      <c r="B479" s="15"/>
    </row>
    <row r="480">
      <c r="A480" s="14"/>
      <c r="B480" s="15"/>
    </row>
    <row r="481">
      <c r="A481" s="14"/>
      <c r="B481" s="15"/>
    </row>
    <row r="482">
      <c r="A482" s="14"/>
      <c r="B482" s="15"/>
    </row>
    <row r="483">
      <c r="A483" s="14"/>
      <c r="B483" s="15"/>
    </row>
    <row r="484">
      <c r="A484" s="14"/>
      <c r="B484" s="15"/>
    </row>
    <row r="485">
      <c r="A485" s="14"/>
      <c r="B485" s="15"/>
    </row>
    <row r="486">
      <c r="A486" s="14"/>
      <c r="B486" s="15"/>
    </row>
    <row r="487">
      <c r="A487" s="14"/>
      <c r="B487" s="15"/>
    </row>
    <row r="488">
      <c r="A488" s="14"/>
      <c r="B488" s="15"/>
    </row>
    <row r="489">
      <c r="A489" s="14"/>
      <c r="B489" s="15"/>
    </row>
    <row r="490">
      <c r="A490" s="14"/>
      <c r="B490" s="15"/>
    </row>
    <row r="491">
      <c r="A491" s="14"/>
      <c r="B491" s="15"/>
    </row>
    <row r="492">
      <c r="A492" s="14"/>
      <c r="B492" s="15"/>
    </row>
    <row r="493">
      <c r="A493" s="14"/>
      <c r="B493" s="15"/>
    </row>
    <row r="494">
      <c r="A494" s="14"/>
      <c r="B494" s="15"/>
    </row>
    <row r="495">
      <c r="A495" s="14"/>
      <c r="B495" s="15"/>
    </row>
    <row r="496">
      <c r="A496" s="14"/>
      <c r="B496" s="15"/>
    </row>
    <row r="497">
      <c r="A497" s="14"/>
      <c r="B497" s="15"/>
    </row>
    <row r="498">
      <c r="A498" s="14"/>
      <c r="B498" s="15"/>
    </row>
    <row r="499">
      <c r="A499" s="14"/>
      <c r="B499" s="15"/>
    </row>
    <row r="500">
      <c r="A500" s="14"/>
      <c r="B500" s="15"/>
    </row>
    <row r="501">
      <c r="A501" s="14"/>
      <c r="B501" s="15"/>
    </row>
    <row r="502">
      <c r="A502" s="14"/>
      <c r="B502" s="15"/>
    </row>
    <row r="503">
      <c r="A503" s="14"/>
      <c r="B503" s="15"/>
    </row>
    <row r="504">
      <c r="A504" s="14"/>
      <c r="B504" s="15"/>
    </row>
    <row r="505">
      <c r="A505" s="14"/>
      <c r="B505" s="15"/>
    </row>
    <row r="506">
      <c r="A506" s="14"/>
      <c r="B506" s="15"/>
    </row>
    <row r="507">
      <c r="A507" s="14"/>
      <c r="B507" s="15"/>
    </row>
    <row r="508">
      <c r="A508" s="14"/>
      <c r="B508" s="15"/>
    </row>
    <row r="509">
      <c r="A509" s="14"/>
      <c r="B509" s="15"/>
    </row>
    <row r="510">
      <c r="A510" s="14"/>
      <c r="B510" s="15"/>
    </row>
    <row r="511">
      <c r="A511" s="14"/>
      <c r="B511" s="15"/>
    </row>
    <row r="512">
      <c r="A512" s="14"/>
      <c r="B512" s="15"/>
    </row>
    <row r="513">
      <c r="A513" s="14"/>
      <c r="B513" s="15"/>
    </row>
    <row r="514">
      <c r="A514" s="14"/>
      <c r="B514" s="15"/>
    </row>
    <row r="515">
      <c r="A515" s="14"/>
      <c r="B515" s="15"/>
    </row>
    <row r="516">
      <c r="A516" s="14"/>
      <c r="B516" s="15"/>
    </row>
    <row r="517">
      <c r="A517" s="14"/>
      <c r="B517" s="15"/>
    </row>
    <row r="518">
      <c r="A518" s="14"/>
      <c r="B518" s="15"/>
    </row>
    <row r="519">
      <c r="A519" s="14"/>
      <c r="B519" s="15"/>
    </row>
    <row r="520">
      <c r="A520" s="14"/>
      <c r="B520" s="15"/>
    </row>
    <row r="521">
      <c r="A521" s="14"/>
      <c r="B521" s="15"/>
    </row>
    <row r="522">
      <c r="A522" s="14"/>
      <c r="B522" s="15"/>
    </row>
    <row r="523">
      <c r="A523" s="14"/>
      <c r="B523" s="15"/>
    </row>
    <row r="524">
      <c r="A524" s="14"/>
      <c r="B524" s="15"/>
    </row>
    <row r="525">
      <c r="A525" s="14"/>
      <c r="B525" s="15"/>
    </row>
    <row r="526">
      <c r="A526" s="14"/>
      <c r="B526" s="15"/>
    </row>
    <row r="527">
      <c r="A527" s="14"/>
      <c r="B527" s="15"/>
    </row>
    <row r="528">
      <c r="A528" s="14"/>
      <c r="B528" s="15"/>
    </row>
    <row r="529">
      <c r="A529" s="14"/>
      <c r="B529" s="15"/>
    </row>
    <row r="530">
      <c r="A530" s="14"/>
      <c r="B530" s="15"/>
    </row>
    <row r="531">
      <c r="A531" s="14"/>
      <c r="B531" s="15"/>
    </row>
    <row r="532">
      <c r="A532" s="14"/>
      <c r="B532" s="15"/>
    </row>
    <row r="533">
      <c r="A533" s="14"/>
      <c r="B533" s="15"/>
    </row>
    <row r="534">
      <c r="A534" s="14"/>
      <c r="B534" s="15"/>
    </row>
    <row r="535">
      <c r="A535" s="14"/>
      <c r="B535" s="15"/>
    </row>
    <row r="536">
      <c r="A536" s="14"/>
      <c r="B536" s="15"/>
    </row>
    <row r="537">
      <c r="A537" s="14"/>
      <c r="B537" s="15"/>
    </row>
    <row r="538">
      <c r="A538" s="14"/>
      <c r="B538" s="15"/>
    </row>
    <row r="539">
      <c r="A539" s="14"/>
      <c r="B539" s="15"/>
    </row>
    <row r="540">
      <c r="A540" s="14"/>
      <c r="B540" s="15"/>
    </row>
    <row r="541">
      <c r="A541" s="14"/>
      <c r="B541" s="15"/>
    </row>
    <row r="542">
      <c r="A542" s="14"/>
      <c r="B542" s="15"/>
    </row>
    <row r="543">
      <c r="A543" s="14"/>
      <c r="B543" s="15"/>
    </row>
    <row r="544">
      <c r="A544" s="14"/>
      <c r="B544" s="15"/>
    </row>
    <row r="545">
      <c r="A545" s="14"/>
      <c r="B545" s="15"/>
    </row>
    <row r="546">
      <c r="A546" s="14"/>
      <c r="B546" s="15"/>
    </row>
    <row r="547">
      <c r="A547" s="14"/>
      <c r="B547" s="15"/>
    </row>
    <row r="548">
      <c r="A548" s="14"/>
      <c r="B548" s="15"/>
    </row>
    <row r="549">
      <c r="A549" s="14"/>
      <c r="B549" s="15"/>
    </row>
    <row r="550">
      <c r="A550" s="14"/>
      <c r="B550" s="15"/>
    </row>
    <row r="551">
      <c r="A551" s="14"/>
      <c r="B551" s="15"/>
    </row>
    <row r="552">
      <c r="A552" s="14"/>
      <c r="B552" s="15"/>
    </row>
    <row r="553">
      <c r="A553" s="14"/>
      <c r="B553" s="15"/>
    </row>
    <row r="554">
      <c r="A554" s="14"/>
      <c r="B554" s="15"/>
    </row>
    <row r="555">
      <c r="A555" s="14"/>
      <c r="B555" s="15"/>
    </row>
    <row r="556">
      <c r="A556" s="14"/>
      <c r="B556" s="15"/>
    </row>
    <row r="557">
      <c r="A557" s="14"/>
      <c r="B557" s="15"/>
    </row>
    <row r="558">
      <c r="A558" s="14"/>
      <c r="B558" s="15"/>
    </row>
    <row r="559">
      <c r="A559" s="14"/>
      <c r="B559" s="15"/>
    </row>
    <row r="560">
      <c r="A560" s="14"/>
      <c r="B560" s="15"/>
    </row>
    <row r="561">
      <c r="A561" s="14"/>
      <c r="B561" s="15"/>
    </row>
    <row r="562">
      <c r="A562" s="14"/>
      <c r="B562" s="15"/>
    </row>
    <row r="563">
      <c r="A563" s="14"/>
      <c r="B563" s="15"/>
    </row>
    <row r="564">
      <c r="A564" s="14"/>
      <c r="B564" s="15"/>
    </row>
    <row r="565">
      <c r="A565" s="14"/>
      <c r="B565" s="15"/>
    </row>
    <row r="566">
      <c r="A566" s="14"/>
      <c r="B566" s="15"/>
    </row>
    <row r="567">
      <c r="A567" s="14"/>
      <c r="B567" s="15"/>
    </row>
    <row r="568">
      <c r="A568" s="14"/>
      <c r="B568" s="15"/>
    </row>
    <row r="569">
      <c r="A569" s="14"/>
      <c r="B569" s="15"/>
    </row>
    <row r="570">
      <c r="A570" s="14"/>
      <c r="B570" s="15"/>
    </row>
    <row r="571">
      <c r="A571" s="14"/>
      <c r="B571" s="15"/>
    </row>
    <row r="572">
      <c r="A572" s="14"/>
      <c r="B572" s="15"/>
    </row>
    <row r="573">
      <c r="A573" s="14"/>
      <c r="B573" s="15"/>
    </row>
    <row r="574">
      <c r="A574" s="14"/>
      <c r="B574" s="15"/>
    </row>
    <row r="575">
      <c r="A575" s="14"/>
      <c r="B575" s="15"/>
    </row>
    <row r="576">
      <c r="A576" s="14"/>
      <c r="B576" s="15"/>
    </row>
    <row r="577">
      <c r="A577" s="14"/>
      <c r="B577" s="15"/>
    </row>
    <row r="578">
      <c r="A578" s="14"/>
      <c r="B578" s="15"/>
    </row>
    <row r="579">
      <c r="A579" s="14"/>
      <c r="B579" s="15"/>
    </row>
    <row r="580">
      <c r="A580" s="14"/>
      <c r="B580" s="15"/>
    </row>
    <row r="581">
      <c r="A581" s="14"/>
      <c r="B581" s="15"/>
    </row>
    <row r="582">
      <c r="A582" s="14"/>
      <c r="B582" s="15"/>
    </row>
    <row r="583">
      <c r="A583" s="14"/>
      <c r="B583" s="15"/>
    </row>
    <row r="584">
      <c r="A584" s="14"/>
      <c r="B584" s="15"/>
    </row>
    <row r="585">
      <c r="A585" s="14"/>
      <c r="B585" s="15"/>
    </row>
    <row r="586">
      <c r="A586" s="14"/>
      <c r="B586" s="15"/>
    </row>
    <row r="587">
      <c r="A587" s="14"/>
      <c r="B587" s="15"/>
    </row>
    <row r="588">
      <c r="A588" s="14"/>
      <c r="B588" s="15"/>
    </row>
    <row r="589">
      <c r="A589" s="14"/>
      <c r="B589" s="15"/>
    </row>
    <row r="590">
      <c r="A590" s="14"/>
      <c r="B590" s="15"/>
    </row>
    <row r="591">
      <c r="A591" s="14"/>
      <c r="B591" s="15"/>
    </row>
    <row r="592">
      <c r="A592" s="14"/>
      <c r="B592" s="15"/>
    </row>
    <row r="593">
      <c r="A593" s="14"/>
      <c r="B593" s="15"/>
    </row>
    <row r="594">
      <c r="A594" s="14"/>
      <c r="B594" s="15"/>
    </row>
    <row r="595">
      <c r="A595" s="14"/>
      <c r="B595" s="15"/>
    </row>
    <row r="596">
      <c r="A596" s="14"/>
      <c r="B596" s="15"/>
    </row>
    <row r="597">
      <c r="A597" s="14"/>
      <c r="B597" s="15"/>
    </row>
    <row r="598">
      <c r="A598" s="14"/>
      <c r="B598" s="15"/>
    </row>
    <row r="599">
      <c r="A599" s="14"/>
      <c r="B599" s="15"/>
    </row>
    <row r="600">
      <c r="A600" s="14"/>
      <c r="B600" s="15"/>
    </row>
    <row r="601">
      <c r="A601" s="14"/>
      <c r="B601" s="15"/>
    </row>
    <row r="602">
      <c r="A602" s="14"/>
      <c r="B602" s="15"/>
    </row>
    <row r="603">
      <c r="A603" s="14"/>
      <c r="B603" s="15"/>
    </row>
    <row r="604">
      <c r="A604" s="14"/>
      <c r="B604" s="15"/>
    </row>
    <row r="605">
      <c r="A605" s="14"/>
      <c r="B605" s="15"/>
    </row>
    <row r="606">
      <c r="A606" s="14"/>
      <c r="B606" s="15"/>
    </row>
    <row r="607">
      <c r="A607" s="14"/>
      <c r="B607" s="15"/>
    </row>
    <row r="608">
      <c r="A608" s="14"/>
      <c r="B608" s="15"/>
    </row>
    <row r="609">
      <c r="A609" s="14"/>
      <c r="B609" s="15"/>
    </row>
    <row r="610">
      <c r="A610" s="14"/>
      <c r="B610" s="15"/>
    </row>
    <row r="611">
      <c r="A611" s="14"/>
      <c r="B611" s="15"/>
    </row>
    <row r="612">
      <c r="A612" s="14"/>
      <c r="B612" s="15"/>
    </row>
    <row r="613">
      <c r="A613" s="14"/>
      <c r="B613" s="15"/>
    </row>
    <row r="614">
      <c r="A614" s="14"/>
      <c r="B614" s="15"/>
    </row>
    <row r="615">
      <c r="A615" s="14"/>
      <c r="B615" s="15"/>
    </row>
    <row r="616">
      <c r="A616" s="14"/>
      <c r="B616" s="15"/>
    </row>
    <row r="617">
      <c r="A617" s="14"/>
      <c r="B617" s="15"/>
    </row>
    <row r="618">
      <c r="A618" s="14"/>
      <c r="B618" s="15"/>
    </row>
    <row r="619">
      <c r="A619" s="14"/>
      <c r="B619" s="15"/>
    </row>
    <row r="620">
      <c r="A620" s="14"/>
      <c r="B620" s="15"/>
    </row>
    <row r="621">
      <c r="A621" s="14"/>
      <c r="B621" s="15"/>
    </row>
    <row r="622">
      <c r="A622" s="14"/>
      <c r="B622" s="15"/>
    </row>
    <row r="623">
      <c r="A623" s="14"/>
      <c r="B623" s="15"/>
    </row>
    <row r="624">
      <c r="A624" s="14"/>
      <c r="B624" s="15"/>
    </row>
    <row r="625">
      <c r="A625" s="14"/>
      <c r="B625" s="15"/>
    </row>
    <row r="626">
      <c r="A626" s="14"/>
      <c r="B626" s="15"/>
    </row>
    <row r="627">
      <c r="A627" s="14"/>
      <c r="B627" s="15"/>
    </row>
    <row r="628">
      <c r="A628" s="14"/>
      <c r="B628" s="15"/>
    </row>
    <row r="629">
      <c r="A629" s="14"/>
      <c r="B629" s="15"/>
    </row>
    <row r="630">
      <c r="A630" s="14"/>
      <c r="B630" s="15"/>
    </row>
    <row r="631">
      <c r="A631" s="14"/>
      <c r="B631" s="15"/>
    </row>
    <row r="632">
      <c r="A632" s="14"/>
      <c r="B632" s="15"/>
    </row>
    <row r="633">
      <c r="A633" s="14"/>
      <c r="B633" s="15"/>
    </row>
    <row r="634">
      <c r="A634" s="14"/>
      <c r="B634" s="15"/>
    </row>
    <row r="635">
      <c r="A635" s="14"/>
      <c r="B635" s="15"/>
    </row>
    <row r="636">
      <c r="A636" s="14"/>
      <c r="B636" s="15"/>
    </row>
    <row r="637">
      <c r="A637" s="14"/>
      <c r="B637" s="15"/>
    </row>
    <row r="638">
      <c r="A638" s="14"/>
      <c r="B638" s="15"/>
    </row>
    <row r="639">
      <c r="A639" s="14"/>
      <c r="B639" s="15"/>
    </row>
    <row r="640">
      <c r="A640" s="14"/>
      <c r="B640" s="15"/>
    </row>
    <row r="641">
      <c r="A641" s="14"/>
      <c r="B641" s="15"/>
    </row>
    <row r="642">
      <c r="A642" s="14"/>
      <c r="B642" s="15"/>
    </row>
    <row r="643">
      <c r="A643" s="14"/>
      <c r="B643" s="15"/>
    </row>
    <row r="644">
      <c r="A644" s="14"/>
      <c r="B644" s="15"/>
    </row>
    <row r="645">
      <c r="A645" s="14"/>
      <c r="B645" s="15"/>
    </row>
    <row r="646">
      <c r="A646" s="14"/>
      <c r="B646" s="15"/>
    </row>
    <row r="647">
      <c r="A647" s="14"/>
      <c r="B647" s="15"/>
    </row>
    <row r="648">
      <c r="A648" s="14"/>
      <c r="B648" s="15"/>
    </row>
    <row r="649">
      <c r="A649" s="14"/>
      <c r="B649" s="15"/>
    </row>
    <row r="650">
      <c r="A650" s="14"/>
      <c r="B650" s="15"/>
    </row>
    <row r="651">
      <c r="A651" s="14"/>
      <c r="B651" s="15"/>
    </row>
    <row r="652">
      <c r="A652" s="14"/>
      <c r="B652" s="15"/>
    </row>
    <row r="653">
      <c r="A653" s="14"/>
      <c r="B653" s="15"/>
    </row>
    <row r="654">
      <c r="A654" s="14"/>
      <c r="B654" s="15"/>
    </row>
    <row r="655">
      <c r="A655" s="14"/>
      <c r="B655" s="15"/>
    </row>
    <row r="656">
      <c r="A656" s="14"/>
      <c r="B656" s="15"/>
    </row>
    <row r="657">
      <c r="A657" s="14"/>
      <c r="B657" s="15"/>
    </row>
    <row r="658">
      <c r="A658" s="14"/>
      <c r="B658" s="15"/>
    </row>
    <row r="659">
      <c r="A659" s="14"/>
      <c r="B659" s="15"/>
    </row>
    <row r="660">
      <c r="A660" s="14"/>
      <c r="B660" s="15"/>
    </row>
    <row r="661">
      <c r="A661" s="14"/>
      <c r="B661" s="15"/>
    </row>
    <row r="662">
      <c r="A662" s="14"/>
      <c r="B662" s="15"/>
    </row>
    <row r="663">
      <c r="A663" s="14"/>
      <c r="B663" s="15"/>
    </row>
    <row r="664">
      <c r="A664" s="14"/>
      <c r="B664" s="15"/>
    </row>
    <row r="665">
      <c r="A665" s="14"/>
      <c r="B665" s="15"/>
    </row>
    <row r="666">
      <c r="A666" s="14"/>
      <c r="B666" s="15"/>
    </row>
    <row r="667">
      <c r="A667" s="14"/>
      <c r="B667" s="15"/>
    </row>
    <row r="668">
      <c r="A668" s="14"/>
      <c r="B668" s="15"/>
    </row>
    <row r="669">
      <c r="A669" s="14"/>
      <c r="B669" s="15"/>
    </row>
    <row r="670">
      <c r="A670" s="14"/>
      <c r="B670" s="15"/>
    </row>
    <row r="671">
      <c r="A671" s="14"/>
      <c r="B671" s="15"/>
    </row>
    <row r="672">
      <c r="A672" s="14"/>
      <c r="B672" s="15"/>
    </row>
    <row r="673">
      <c r="A673" s="14"/>
      <c r="B673" s="15"/>
    </row>
    <row r="674">
      <c r="A674" s="14"/>
      <c r="B674" s="15"/>
    </row>
    <row r="675">
      <c r="A675" s="14"/>
      <c r="B675" s="15"/>
    </row>
    <row r="676">
      <c r="A676" s="14"/>
      <c r="B676" s="15"/>
    </row>
    <row r="677">
      <c r="A677" s="14"/>
      <c r="B677" s="15"/>
    </row>
    <row r="678">
      <c r="A678" s="14"/>
      <c r="B678" s="15"/>
    </row>
    <row r="679">
      <c r="A679" s="14"/>
      <c r="B679" s="15"/>
    </row>
    <row r="680">
      <c r="A680" s="14"/>
      <c r="B680" s="15"/>
    </row>
    <row r="681">
      <c r="A681" s="14"/>
      <c r="B681" s="15"/>
    </row>
    <row r="682">
      <c r="A682" s="14"/>
      <c r="B682" s="15"/>
    </row>
    <row r="683">
      <c r="A683" s="14"/>
      <c r="B683" s="15"/>
    </row>
    <row r="684">
      <c r="A684" s="14"/>
      <c r="B684" s="15"/>
    </row>
    <row r="685">
      <c r="A685" s="14"/>
      <c r="B685" s="15"/>
    </row>
    <row r="686">
      <c r="A686" s="14"/>
      <c r="B686" s="15"/>
    </row>
    <row r="687">
      <c r="A687" s="14"/>
      <c r="B687" s="15"/>
    </row>
    <row r="688">
      <c r="A688" s="14"/>
      <c r="B688" s="15"/>
    </row>
    <row r="689">
      <c r="A689" s="14"/>
      <c r="B689" s="15"/>
    </row>
    <row r="690">
      <c r="A690" s="14"/>
      <c r="B690" s="15"/>
    </row>
    <row r="691">
      <c r="A691" s="14"/>
      <c r="B691" s="15"/>
    </row>
    <row r="692">
      <c r="A692" s="14"/>
      <c r="B692" s="15"/>
    </row>
    <row r="693">
      <c r="A693" s="14"/>
      <c r="B693" s="15"/>
    </row>
    <row r="694">
      <c r="A694" s="14"/>
      <c r="B694" s="15"/>
    </row>
    <row r="695">
      <c r="A695" s="14"/>
      <c r="B695" s="15"/>
    </row>
    <row r="696">
      <c r="A696" s="14"/>
      <c r="B696" s="15"/>
    </row>
    <row r="697">
      <c r="A697" s="14"/>
      <c r="B697" s="15"/>
    </row>
    <row r="698">
      <c r="A698" s="14"/>
      <c r="B698" s="15"/>
    </row>
    <row r="699">
      <c r="A699" s="14"/>
      <c r="B699" s="15"/>
    </row>
    <row r="700">
      <c r="A700" s="14"/>
      <c r="B700" s="15"/>
    </row>
    <row r="701">
      <c r="A701" s="14"/>
      <c r="B701" s="15"/>
    </row>
    <row r="702">
      <c r="A702" s="14"/>
      <c r="B702" s="15"/>
    </row>
    <row r="703">
      <c r="A703" s="14"/>
      <c r="B703" s="15"/>
    </row>
    <row r="704">
      <c r="A704" s="14"/>
      <c r="B704" s="15"/>
    </row>
    <row r="705">
      <c r="A705" s="14"/>
      <c r="B705" s="15"/>
    </row>
    <row r="706">
      <c r="A706" s="14"/>
      <c r="B706" s="15"/>
    </row>
    <row r="707">
      <c r="A707" s="14"/>
      <c r="B707" s="15"/>
    </row>
    <row r="708">
      <c r="A708" s="14"/>
      <c r="B708" s="15"/>
    </row>
    <row r="709">
      <c r="A709" s="14"/>
      <c r="B709" s="15"/>
    </row>
    <row r="710">
      <c r="A710" s="14"/>
      <c r="B710" s="15"/>
    </row>
    <row r="711">
      <c r="A711" s="14"/>
      <c r="B711" s="15"/>
    </row>
    <row r="712">
      <c r="A712" s="14"/>
      <c r="B712" s="15"/>
    </row>
    <row r="713">
      <c r="A713" s="14"/>
      <c r="B713" s="15"/>
    </row>
    <row r="714">
      <c r="A714" s="14"/>
      <c r="B714" s="15"/>
    </row>
    <row r="715">
      <c r="A715" s="14"/>
      <c r="B715" s="15"/>
    </row>
    <row r="716">
      <c r="A716" s="14"/>
      <c r="B716" s="15"/>
    </row>
    <row r="717">
      <c r="A717" s="14"/>
      <c r="B717" s="15"/>
    </row>
    <row r="718">
      <c r="A718" s="14"/>
      <c r="B718" s="15"/>
    </row>
    <row r="719">
      <c r="A719" s="14"/>
      <c r="B719" s="15"/>
    </row>
    <row r="720">
      <c r="A720" s="14"/>
      <c r="B720" s="15"/>
    </row>
    <row r="721">
      <c r="A721" s="14"/>
      <c r="B721" s="15"/>
    </row>
    <row r="722">
      <c r="A722" s="14"/>
      <c r="B722" s="15"/>
    </row>
    <row r="723">
      <c r="A723" s="14"/>
      <c r="B723" s="15"/>
    </row>
    <row r="724">
      <c r="A724" s="14"/>
      <c r="B724" s="15"/>
    </row>
    <row r="725">
      <c r="A725" s="14"/>
      <c r="B725" s="15"/>
    </row>
    <row r="726">
      <c r="A726" s="14"/>
      <c r="B726" s="15"/>
    </row>
    <row r="727">
      <c r="A727" s="14"/>
      <c r="B727" s="15"/>
    </row>
    <row r="728">
      <c r="A728" s="14"/>
      <c r="B728" s="15"/>
    </row>
    <row r="729">
      <c r="A729" s="14"/>
      <c r="B729" s="15"/>
    </row>
    <row r="730">
      <c r="A730" s="14"/>
      <c r="B730" s="15"/>
    </row>
    <row r="731">
      <c r="A731" s="14"/>
      <c r="B731" s="15"/>
    </row>
    <row r="732">
      <c r="A732" s="14"/>
      <c r="B732" s="15"/>
    </row>
    <row r="733">
      <c r="A733" s="14"/>
      <c r="B733" s="15"/>
    </row>
    <row r="734">
      <c r="A734" s="14"/>
      <c r="B734" s="15"/>
    </row>
    <row r="735">
      <c r="A735" s="14"/>
      <c r="B735" s="15"/>
    </row>
    <row r="736">
      <c r="A736" s="14"/>
      <c r="B736" s="15"/>
    </row>
    <row r="737">
      <c r="A737" s="14"/>
      <c r="B737" s="15"/>
    </row>
    <row r="738">
      <c r="A738" s="14"/>
      <c r="B738" s="15"/>
    </row>
    <row r="739">
      <c r="A739" s="14"/>
      <c r="B739" s="15"/>
    </row>
    <row r="740">
      <c r="A740" s="14"/>
      <c r="B740" s="15"/>
    </row>
    <row r="741">
      <c r="A741" s="14"/>
      <c r="B741" s="15"/>
    </row>
    <row r="742">
      <c r="A742" s="14"/>
      <c r="B742" s="15"/>
    </row>
    <row r="743">
      <c r="A743" s="14"/>
      <c r="B743" s="15"/>
    </row>
    <row r="744">
      <c r="A744" s="14"/>
      <c r="B744" s="15"/>
    </row>
    <row r="745">
      <c r="A745" s="14"/>
      <c r="B745" s="15"/>
    </row>
    <row r="746">
      <c r="A746" s="14"/>
      <c r="B746" s="15"/>
    </row>
    <row r="747">
      <c r="A747" s="14"/>
      <c r="B747" s="15"/>
    </row>
    <row r="748">
      <c r="A748" s="14"/>
      <c r="B748" s="15"/>
    </row>
    <row r="749">
      <c r="A749" s="14"/>
      <c r="B749" s="15"/>
    </row>
    <row r="750">
      <c r="A750" s="14"/>
      <c r="B750" s="15"/>
    </row>
    <row r="751">
      <c r="A751" s="14"/>
      <c r="B751" s="15"/>
    </row>
    <row r="752">
      <c r="A752" s="14"/>
      <c r="B752" s="15"/>
    </row>
    <row r="753">
      <c r="A753" s="14"/>
      <c r="B753" s="15"/>
    </row>
    <row r="754">
      <c r="A754" s="14"/>
      <c r="B754" s="15"/>
    </row>
    <row r="755">
      <c r="A755" s="14"/>
      <c r="B755" s="15"/>
    </row>
    <row r="756">
      <c r="A756" s="14"/>
      <c r="B756" s="15"/>
    </row>
    <row r="757">
      <c r="A757" s="14"/>
      <c r="B757" s="15"/>
    </row>
    <row r="758">
      <c r="A758" s="14"/>
      <c r="B758" s="15"/>
    </row>
    <row r="759">
      <c r="A759" s="14"/>
      <c r="B759" s="15"/>
    </row>
    <row r="760">
      <c r="A760" s="14"/>
      <c r="B760" s="15"/>
    </row>
    <row r="761">
      <c r="A761" s="14"/>
      <c r="B761" s="15"/>
    </row>
    <row r="762">
      <c r="A762" s="14"/>
      <c r="B762" s="15"/>
    </row>
    <row r="763">
      <c r="A763" s="14"/>
      <c r="B763" s="15"/>
    </row>
    <row r="764">
      <c r="A764" s="14"/>
      <c r="B764" s="15"/>
    </row>
    <row r="765">
      <c r="A765" s="14"/>
      <c r="B765" s="15"/>
    </row>
    <row r="766">
      <c r="A766" s="14"/>
      <c r="B766" s="15"/>
    </row>
    <row r="767">
      <c r="A767" s="14"/>
      <c r="B767" s="15"/>
    </row>
    <row r="768">
      <c r="A768" s="14"/>
      <c r="B768" s="15"/>
    </row>
    <row r="769">
      <c r="A769" s="14"/>
      <c r="B769" s="15"/>
    </row>
    <row r="770">
      <c r="A770" s="14"/>
      <c r="B770" s="15"/>
    </row>
    <row r="771">
      <c r="A771" s="14"/>
      <c r="B771" s="15"/>
    </row>
    <row r="772">
      <c r="A772" s="14"/>
      <c r="B772" s="15"/>
    </row>
    <row r="773">
      <c r="A773" s="14"/>
      <c r="B773" s="15"/>
    </row>
    <row r="774">
      <c r="A774" s="14"/>
      <c r="B774" s="15"/>
    </row>
    <row r="775">
      <c r="A775" s="14"/>
      <c r="B775" s="15"/>
    </row>
    <row r="776">
      <c r="A776" s="14"/>
      <c r="B776" s="15"/>
    </row>
    <row r="777">
      <c r="A777" s="14"/>
      <c r="B777" s="15"/>
    </row>
    <row r="778">
      <c r="A778" s="14"/>
      <c r="B778" s="15"/>
    </row>
    <row r="779">
      <c r="A779" s="14"/>
      <c r="B779" s="15"/>
    </row>
    <row r="780">
      <c r="A780" s="14"/>
      <c r="B780" s="15"/>
    </row>
    <row r="781">
      <c r="A781" s="14"/>
      <c r="B781" s="15"/>
    </row>
    <row r="782">
      <c r="A782" s="14"/>
      <c r="B782" s="15"/>
    </row>
    <row r="783">
      <c r="A783" s="14"/>
      <c r="B783" s="15"/>
    </row>
    <row r="784">
      <c r="A784" s="14"/>
      <c r="B784" s="15"/>
    </row>
    <row r="785">
      <c r="A785" s="14"/>
      <c r="B785" s="15"/>
    </row>
    <row r="786">
      <c r="A786" s="14"/>
      <c r="B786" s="15"/>
    </row>
    <row r="787">
      <c r="A787" s="14"/>
      <c r="B787" s="15"/>
    </row>
    <row r="788">
      <c r="A788" s="14"/>
      <c r="B788" s="15"/>
    </row>
    <row r="789">
      <c r="A789" s="14"/>
      <c r="B789" s="15"/>
    </row>
    <row r="790">
      <c r="A790" s="14"/>
      <c r="B790" s="15"/>
    </row>
    <row r="791">
      <c r="A791" s="14"/>
      <c r="B791" s="15"/>
    </row>
    <row r="792">
      <c r="A792" s="14"/>
      <c r="B792" s="15"/>
    </row>
    <row r="793">
      <c r="A793" s="14"/>
      <c r="B793" s="15"/>
    </row>
    <row r="794">
      <c r="A794" s="14"/>
      <c r="B794" s="15"/>
    </row>
    <row r="795">
      <c r="A795" s="14"/>
      <c r="B795" s="15"/>
    </row>
    <row r="796">
      <c r="A796" s="14"/>
      <c r="B796" s="15"/>
    </row>
    <row r="797">
      <c r="A797" s="14"/>
      <c r="B797" s="15"/>
    </row>
    <row r="798">
      <c r="A798" s="14"/>
      <c r="B798" s="15"/>
    </row>
    <row r="799">
      <c r="A799" s="14"/>
      <c r="B799" s="15"/>
    </row>
    <row r="800">
      <c r="A800" s="14"/>
      <c r="B800" s="15"/>
    </row>
    <row r="801">
      <c r="A801" s="14"/>
      <c r="B801" s="15"/>
    </row>
    <row r="802">
      <c r="A802" s="14"/>
      <c r="B802" s="15"/>
    </row>
    <row r="803">
      <c r="A803" s="14"/>
      <c r="B803" s="15"/>
    </row>
    <row r="804">
      <c r="A804" s="14"/>
      <c r="B804" s="15"/>
    </row>
    <row r="805">
      <c r="A805" s="14"/>
      <c r="B805" s="15"/>
    </row>
    <row r="806">
      <c r="A806" s="14"/>
      <c r="B806" s="15"/>
    </row>
    <row r="807">
      <c r="A807" s="14"/>
      <c r="B807" s="15"/>
    </row>
    <row r="808">
      <c r="A808" s="14"/>
      <c r="B808" s="15"/>
    </row>
    <row r="809">
      <c r="A809" s="14"/>
      <c r="B809" s="15"/>
    </row>
    <row r="810">
      <c r="A810" s="14"/>
      <c r="B810" s="15"/>
    </row>
    <row r="811">
      <c r="A811" s="14"/>
      <c r="B811" s="15"/>
    </row>
    <row r="812">
      <c r="A812" s="14"/>
      <c r="B812" s="15"/>
    </row>
    <row r="813">
      <c r="A813" s="14"/>
      <c r="B813" s="15"/>
    </row>
    <row r="814">
      <c r="A814" s="14"/>
      <c r="B814" s="15"/>
    </row>
    <row r="815">
      <c r="A815" s="14"/>
      <c r="B815" s="15"/>
    </row>
    <row r="816">
      <c r="A816" s="14"/>
      <c r="B816" s="15"/>
    </row>
    <row r="817">
      <c r="A817" s="14"/>
      <c r="B817" s="15"/>
    </row>
    <row r="818">
      <c r="A818" s="14"/>
      <c r="B818" s="15"/>
    </row>
    <row r="819">
      <c r="A819" s="14"/>
      <c r="B819" s="15"/>
    </row>
    <row r="820">
      <c r="A820" s="14"/>
      <c r="B820" s="15"/>
    </row>
    <row r="821">
      <c r="A821" s="14"/>
      <c r="B821" s="15"/>
    </row>
    <row r="822">
      <c r="A822" s="14"/>
      <c r="B822" s="15"/>
    </row>
    <row r="823">
      <c r="A823" s="14"/>
      <c r="B823" s="15"/>
    </row>
    <row r="824">
      <c r="A824" s="14"/>
      <c r="B824" s="15"/>
    </row>
    <row r="825">
      <c r="A825" s="14"/>
      <c r="B825" s="15"/>
    </row>
    <row r="826">
      <c r="A826" s="14"/>
      <c r="B826" s="15"/>
    </row>
    <row r="827">
      <c r="A827" s="14"/>
      <c r="B827" s="15"/>
    </row>
    <row r="828">
      <c r="A828" s="14"/>
      <c r="B828" s="15"/>
    </row>
    <row r="829">
      <c r="A829" s="14"/>
      <c r="B829" s="15"/>
    </row>
    <row r="830">
      <c r="A830" s="14"/>
      <c r="B830" s="15"/>
    </row>
    <row r="831">
      <c r="A831" s="14"/>
      <c r="B831" s="15"/>
    </row>
    <row r="832">
      <c r="A832" s="14"/>
      <c r="B832" s="15"/>
    </row>
    <row r="833">
      <c r="A833" s="14"/>
      <c r="B833" s="15"/>
    </row>
    <row r="834">
      <c r="A834" s="14"/>
      <c r="B834" s="15"/>
    </row>
    <row r="835">
      <c r="A835" s="14"/>
      <c r="B835" s="15"/>
    </row>
    <row r="836">
      <c r="A836" s="14"/>
      <c r="B836" s="15"/>
    </row>
    <row r="837">
      <c r="A837" s="14"/>
      <c r="B837" s="15"/>
    </row>
    <row r="838">
      <c r="A838" s="14"/>
      <c r="B838" s="15"/>
    </row>
    <row r="839">
      <c r="A839" s="14"/>
      <c r="B839" s="15"/>
    </row>
    <row r="840">
      <c r="A840" s="14"/>
      <c r="B840" s="15"/>
    </row>
    <row r="841">
      <c r="A841" s="14"/>
      <c r="B841" s="15"/>
    </row>
    <row r="842">
      <c r="A842" s="14"/>
      <c r="B842" s="15"/>
    </row>
    <row r="843">
      <c r="A843" s="14"/>
      <c r="B843" s="15"/>
    </row>
    <row r="844">
      <c r="A844" s="14"/>
      <c r="B844" s="15"/>
    </row>
    <row r="845">
      <c r="A845" s="14"/>
      <c r="B845" s="15"/>
    </row>
    <row r="846">
      <c r="A846" s="14"/>
      <c r="B846" s="15"/>
    </row>
    <row r="847">
      <c r="A847" s="14"/>
      <c r="B847" s="15"/>
    </row>
    <row r="848">
      <c r="A848" s="14"/>
      <c r="B848" s="15"/>
    </row>
    <row r="849">
      <c r="A849" s="14"/>
      <c r="B849" s="15"/>
    </row>
    <row r="850">
      <c r="A850" s="14"/>
      <c r="B850" s="15"/>
    </row>
    <row r="851">
      <c r="A851" s="14"/>
      <c r="B851" s="15"/>
    </row>
    <row r="852">
      <c r="A852" s="14"/>
      <c r="B852" s="15"/>
    </row>
    <row r="853">
      <c r="A853" s="14"/>
      <c r="B853" s="15"/>
    </row>
    <row r="854">
      <c r="A854" s="14"/>
      <c r="B854" s="15"/>
    </row>
    <row r="855">
      <c r="A855" s="14"/>
      <c r="B855" s="15"/>
    </row>
    <row r="856">
      <c r="A856" s="14"/>
      <c r="B856" s="15"/>
    </row>
    <row r="857">
      <c r="A857" s="14"/>
      <c r="B857" s="15"/>
    </row>
    <row r="858">
      <c r="A858" s="14"/>
      <c r="B858" s="15"/>
    </row>
    <row r="859">
      <c r="A859" s="14"/>
      <c r="B859" s="15"/>
    </row>
    <row r="860">
      <c r="A860" s="14"/>
      <c r="B860" s="15"/>
    </row>
    <row r="861">
      <c r="A861" s="14"/>
      <c r="B861" s="15"/>
    </row>
    <row r="862">
      <c r="A862" s="14"/>
      <c r="B862" s="15"/>
    </row>
    <row r="863">
      <c r="A863" s="14"/>
      <c r="B863" s="15"/>
    </row>
    <row r="864">
      <c r="A864" s="14"/>
      <c r="B864" s="15"/>
    </row>
    <row r="865">
      <c r="A865" s="14"/>
      <c r="B865" s="15"/>
    </row>
    <row r="866">
      <c r="A866" s="14"/>
      <c r="B866" s="15"/>
    </row>
    <row r="867">
      <c r="A867" s="14"/>
      <c r="B867" s="15"/>
    </row>
    <row r="868">
      <c r="A868" s="14"/>
      <c r="B868" s="15"/>
    </row>
    <row r="869">
      <c r="A869" s="14"/>
      <c r="B869" s="15"/>
    </row>
    <row r="870">
      <c r="A870" s="14"/>
      <c r="B870" s="15"/>
    </row>
    <row r="871">
      <c r="A871" s="14"/>
      <c r="B871" s="15"/>
    </row>
    <row r="872">
      <c r="A872" s="14"/>
      <c r="B872" s="15"/>
    </row>
    <row r="873">
      <c r="A873" s="14"/>
      <c r="B873" s="15"/>
    </row>
    <row r="874">
      <c r="A874" s="14"/>
      <c r="B874" s="15"/>
    </row>
    <row r="875">
      <c r="A875" s="14"/>
      <c r="B875" s="15"/>
    </row>
    <row r="876">
      <c r="A876" s="14"/>
      <c r="B876" s="15"/>
    </row>
    <row r="877">
      <c r="A877" s="14"/>
      <c r="B877" s="15"/>
    </row>
    <row r="878">
      <c r="A878" s="14"/>
      <c r="B878" s="15"/>
    </row>
    <row r="879">
      <c r="A879" s="14"/>
      <c r="B879" s="15"/>
    </row>
    <row r="880">
      <c r="A880" s="14"/>
      <c r="B880" s="15"/>
    </row>
    <row r="881">
      <c r="A881" s="14"/>
      <c r="B881" s="15"/>
    </row>
    <row r="882">
      <c r="A882" s="14"/>
      <c r="B882" s="15"/>
    </row>
    <row r="883">
      <c r="A883" s="14"/>
      <c r="B883" s="15"/>
    </row>
    <row r="884">
      <c r="A884" s="14"/>
      <c r="B884" s="15"/>
    </row>
    <row r="885">
      <c r="A885" s="14"/>
      <c r="B885" s="15"/>
    </row>
    <row r="886">
      <c r="A886" s="14"/>
      <c r="B886" s="15"/>
    </row>
    <row r="887">
      <c r="A887" s="14"/>
      <c r="B887" s="15"/>
    </row>
    <row r="888">
      <c r="A888" s="14"/>
      <c r="B888" s="15"/>
    </row>
    <row r="889">
      <c r="A889" s="14"/>
      <c r="B889" s="15"/>
    </row>
    <row r="890">
      <c r="A890" s="14"/>
      <c r="B890" s="15"/>
    </row>
    <row r="891">
      <c r="A891" s="14"/>
      <c r="B891" s="15"/>
    </row>
    <row r="892">
      <c r="A892" s="14"/>
      <c r="B892" s="15"/>
    </row>
    <row r="893">
      <c r="A893" s="14"/>
      <c r="B893" s="15"/>
    </row>
    <row r="894">
      <c r="A894" s="14"/>
      <c r="B894" s="15"/>
    </row>
    <row r="895">
      <c r="A895" s="14"/>
      <c r="B895" s="15"/>
    </row>
    <row r="896">
      <c r="A896" s="14"/>
      <c r="B896" s="15"/>
    </row>
    <row r="897">
      <c r="A897" s="14"/>
      <c r="B897" s="15"/>
    </row>
    <row r="898">
      <c r="A898" s="14"/>
      <c r="B898" s="15"/>
    </row>
    <row r="899">
      <c r="A899" s="14"/>
      <c r="B899" s="15"/>
    </row>
    <row r="900">
      <c r="A900" s="14"/>
      <c r="B900" s="15"/>
    </row>
    <row r="901">
      <c r="A901" s="14"/>
      <c r="B901" s="15"/>
    </row>
    <row r="902">
      <c r="A902" s="14"/>
      <c r="B902" s="15"/>
    </row>
    <row r="903">
      <c r="A903" s="14"/>
      <c r="B903" s="15"/>
    </row>
    <row r="904">
      <c r="A904" s="14"/>
      <c r="B904" s="15"/>
    </row>
    <row r="905">
      <c r="A905" s="14"/>
      <c r="B905" s="15"/>
    </row>
    <row r="906">
      <c r="A906" s="14"/>
      <c r="B906" s="15"/>
    </row>
    <row r="907">
      <c r="A907" s="14"/>
      <c r="B907" s="15"/>
    </row>
    <row r="908">
      <c r="A908" s="14"/>
      <c r="B908" s="15"/>
    </row>
    <row r="909">
      <c r="A909" s="14"/>
      <c r="B909" s="15"/>
    </row>
    <row r="910">
      <c r="A910" s="14"/>
      <c r="B910" s="15"/>
    </row>
    <row r="911">
      <c r="A911" s="14"/>
      <c r="B911" s="15"/>
    </row>
    <row r="912">
      <c r="A912" s="14"/>
      <c r="B912" s="15"/>
    </row>
    <row r="913">
      <c r="A913" s="14"/>
      <c r="B913" s="15"/>
    </row>
    <row r="914">
      <c r="A914" s="14"/>
      <c r="B914" s="15"/>
    </row>
    <row r="915">
      <c r="A915" s="14"/>
      <c r="B915" s="15"/>
    </row>
    <row r="916">
      <c r="A916" s="14"/>
      <c r="B916" s="15"/>
    </row>
    <row r="917">
      <c r="A917" s="14"/>
      <c r="B917" s="15"/>
    </row>
    <row r="918">
      <c r="A918" s="14"/>
      <c r="B918" s="15"/>
    </row>
    <row r="919">
      <c r="A919" s="14"/>
      <c r="B919" s="15"/>
    </row>
    <row r="920">
      <c r="A920" s="14"/>
      <c r="B920" s="15"/>
    </row>
    <row r="921">
      <c r="A921" s="14"/>
      <c r="B921" s="15"/>
    </row>
    <row r="922">
      <c r="A922" s="14"/>
      <c r="B922" s="15"/>
    </row>
    <row r="923">
      <c r="A923" s="14"/>
      <c r="B923" s="15"/>
    </row>
    <row r="924">
      <c r="A924" s="14"/>
      <c r="B924" s="15"/>
    </row>
    <row r="925">
      <c r="A925" s="14"/>
      <c r="B925" s="15"/>
    </row>
    <row r="926">
      <c r="A926" s="14"/>
      <c r="B926" s="15"/>
    </row>
    <row r="927">
      <c r="A927" s="14"/>
      <c r="B927" s="15"/>
    </row>
    <row r="928">
      <c r="A928" s="14"/>
      <c r="B928" s="15"/>
    </row>
    <row r="929">
      <c r="A929" s="14"/>
      <c r="B929" s="15"/>
    </row>
    <row r="930">
      <c r="A930" s="14"/>
      <c r="B930" s="15"/>
    </row>
    <row r="931">
      <c r="A931" s="14"/>
      <c r="B931" s="15"/>
    </row>
    <row r="932">
      <c r="A932" s="14"/>
      <c r="B932" s="15"/>
    </row>
    <row r="933">
      <c r="A933" s="14"/>
      <c r="B933" s="15"/>
    </row>
    <row r="934">
      <c r="A934" s="14"/>
      <c r="B934" s="15"/>
    </row>
    <row r="935">
      <c r="A935" s="14"/>
      <c r="B935" s="15"/>
    </row>
    <row r="936">
      <c r="A936" s="14"/>
      <c r="B936" s="15"/>
    </row>
    <row r="937">
      <c r="A937" s="14"/>
      <c r="B937" s="15"/>
    </row>
    <row r="938">
      <c r="A938" s="14"/>
      <c r="B938" s="15"/>
    </row>
    <row r="939">
      <c r="A939" s="14"/>
      <c r="B939" s="15"/>
    </row>
    <row r="940">
      <c r="A940" s="14"/>
      <c r="B940" s="15"/>
    </row>
    <row r="941">
      <c r="A941" s="14"/>
      <c r="B941" s="15"/>
    </row>
    <row r="942">
      <c r="A942" s="14"/>
      <c r="B942" s="15"/>
    </row>
    <row r="943">
      <c r="A943" s="14"/>
      <c r="B943" s="15"/>
    </row>
    <row r="944">
      <c r="A944" s="14"/>
      <c r="B944" s="15"/>
    </row>
    <row r="945">
      <c r="A945" s="14"/>
      <c r="B945" s="15"/>
    </row>
    <row r="946">
      <c r="A946" s="14"/>
      <c r="B946" s="15"/>
    </row>
    <row r="947">
      <c r="A947" s="14"/>
      <c r="B947" s="15"/>
    </row>
    <row r="948">
      <c r="A948" s="14"/>
      <c r="B948" s="15"/>
    </row>
    <row r="949">
      <c r="A949" s="14"/>
      <c r="B949" s="15"/>
    </row>
    <row r="950">
      <c r="A950" s="14"/>
      <c r="B950" s="15"/>
    </row>
    <row r="951">
      <c r="A951" s="14"/>
      <c r="B951" s="15"/>
    </row>
    <row r="952">
      <c r="A952" s="14"/>
      <c r="B952" s="15"/>
    </row>
    <row r="953">
      <c r="A953" s="14"/>
      <c r="B953" s="15"/>
    </row>
    <row r="954">
      <c r="A954" s="14"/>
      <c r="B954" s="15"/>
    </row>
    <row r="955">
      <c r="A955" s="14"/>
      <c r="B955" s="15"/>
    </row>
    <row r="956">
      <c r="A956" s="14"/>
      <c r="B956" s="15"/>
    </row>
    <row r="957">
      <c r="A957" s="14"/>
      <c r="B957" s="15"/>
    </row>
    <row r="958">
      <c r="A958" s="14"/>
      <c r="B958" s="15"/>
    </row>
    <row r="959">
      <c r="A959" s="14"/>
      <c r="B959" s="15"/>
    </row>
    <row r="960">
      <c r="A960" s="14"/>
      <c r="B960" s="15"/>
    </row>
    <row r="961">
      <c r="A961" s="14"/>
      <c r="B961" s="15"/>
    </row>
    <row r="962">
      <c r="A962" s="14"/>
      <c r="B962" s="15"/>
    </row>
    <row r="963">
      <c r="A963" s="14"/>
      <c r="B963" s="15"/>
    </row>
    <row r="964">
      <c r="A964" s="14"/>
      <c r="B964" s="15"/>
    </row>
    <row r="965">
      <c r="A965" s="14"/>
      <c r="B965" s="15"/>
    </row>
    <row r="966">
      <c r="A966" s="14"/>
      <c r="B966" s="15"/>
    </row>
    <row r="967">
      <c r="A967" s="14"/>
      <c r="B967" s="15"/>
    </row>
    <row r="968">
      <c r="A968" s="14"/>
      <c r="B968" s="15"/>
    </row>
    <row r="969">
      <c r="A969" s="14"/>
      <c r="B969" s="15"/>
    </row>
    <row r="970">
      <c r="A970" s="14"/>
      <c r="B970" s="15"/>
    </row>
    <row r="971">
      <c r="A971" s="14"/>
      <c r="B971" s="15"/>
    </row>
    <row r="972">
      <c r="A972" s="14"/>
      <c r="B972" s="15"/>
    </row>
    <row r="973">
      <c r="A973" s="14"/>
      <c r="B973" s="15"/>
    </row>
    <row r="974">
      <c r="A974" s="14"/>
      <c r="B974" s="15"/>
    </row>
    <row r="975">
      <c r="A975" s="14"/>
      <c r="B975" s="15"/>
    </row>
    <row r="976">
      <c r="A976" s="14"/>
      <c r="B976" s="15"/>
    </row>
    <row r="977">
      <c r="A977" s="14"/>
      <c r="B977" s="15"/>
    </row>
    <row r="978">
      <c r="A978" s="14"/>
      <c r="B978" s="15"/>
    </row>
    <row r="979">
      <c r="A979" s="14"/>
      <c r="B979" s="15"/>
    </row>
    <row r="980">
      <c r="A980" s="14"/>
      <c r="B980" s="15"/>
    </row>
    <row r="981">
      <c r="A981" s="14"/>
      <c r="B981" s="15"/>
    </row>
    <row r="982">
      <c r="A982" s="14"/>
      <c r="B982" s="15"/>
    </row>
    <row r="983">
      <c r="A983" s="14"/>
      <c r="B983" s="15"/>
    </row>
    <row r="984">
      <c r="A984" s="14"/>
      <c r="B984" s="15"/>
    </row>
    <row r="985">
      <c r="A985" s="14"/>
      <c r="B985" s="15"/>
    </row>
    <row r="986">
      <c r="A986" s="14"/>
      <c r="B986" s="15"/>
    </row>
    <row r="987">
      <c r="A987" s="14"/>
      <c r="B987" s="15"/>
    </row>
    <row r="988">
      <c r="A988" s="14"/>
      <c r="B988" s="15"/>
    </row>
    <row r="989">
      <c r="A989" s="14"/>
      <c r="B989" s="15"/>
    </row>
    <row r="990">
      <c r="A990" s="14"/>
      <c r="B990" s="15"/>
    </row>
    <row r="991">
      <c r="A991" s="14"/>
      <c r="B991" s="15"/>
    </row>
    <row r="992">
      <c r="A992" s="14"/>
      <c r="B992" s="15"/>
    </row>
    <row r="993">
      <c r="A993" s="14"/>
      <c r="B993" s="15"/>
    </row>
    <row r="994">
      <c r="A994" s="14"/>
      <c r="B994" s="15"/>
    </row>
    <row r="995">
      <c r="A995" s="14"/>
      <c r="B995" s="15"/>
    </row>
    <row r="996">
      <c r="A996" s="14"/>
      <c r="B996" s="15"/>
    </row>
    <row r="997">
      <c r="A997" s="14"/>
      <c r="B997" s="15"/>
    </row>
    <row r="998">
      <c r="A998" s="14"/>
      <c r="B998" s="15"/>
    </row>
    <row r="999">
      <c r="A999" s="14"/>
      <c r="B999" s="15"/>
    </row>
  </sheetData>
  <autoFilter ref="$A$1:$CW$1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33.14"/>
    <col customWidth="1" min="3" max="3" width="17.29"/>
    <col customWidth="1" min="4" max="4" width="9.86"/>
    <col customWidth="1" min="5" max="5" width="11.57"/>
    <col customWidth="1" min="6" max="6" width="15.86"/>
    <col customWidth="1" min="7" max="7" width="19.14"/>
    <col customWidth="1" min="8" max="8" width="20.71"/>
    <col customWidth="1" min="9" max="9" width="17.0"/>
    <col customWidth="1" min="10" max="10" width="19.43"/>
    <col customWidth="1" min="11" max="11" width="18.29"/>
    <col customWidth="1" min="12" max="12" width="18.57"/>
    <col customWidth="1" min="13" max="13" width="18.0"/>
    <col customWidth="1" min="14" max="14" width="15.57"/>
    <col customWidth="1" min="15" max="15" width="15.0"/>
    <col customWidth="1" min="16" max="16" width="14.0"/>
    <col customWidth="1" min="17" max="17" width="16.14"/>
    <col customWidth="1" min="18" max="18" width="16.0"/>
    <col customWidth="1" min="19" max="19" width="13.71"/>
    <col customWidth="1" min="20" max="20" width="15.0"/>
    <col customWidth="1" min="21" max="22" width="14.14"/>
    <col customWidth="1" min="23" max="23" width="15.0"/>
    <col customWidth="1" min="24" max="24" width="15.57"/>
    <col customWidth="1" min="25" max="25" width="14.0"/>
    <col customWidth="1" min="26" max="26" width="16.29"/>
    <col customWidth="1" min="27" max="27" width="14.43"/>
    <col customWidth="1" min="28" max="28" width="16.14"/>
    <col customWidth="1" min="29" max="29" width="17.43"/>
    <col customWidth="1" min="30" max="30" width="15.14"/>
    <col customWidth="1" min="31" max="31" width="17.86"/>
    <col customWidth="1" min="32" max="32" width="15.57"/>
    <col customWidth="1" min="33" max="33" width="17.43"/>
    <col customWidth="1" min="34" max="34" width="17.71"/>
    <col customWidth="1" min="35" max="35" width="18.29"/>
    <col customWidth="1" min="36" max="36" width="23.29"/>
    <col customWidth="1" min="37" max="37" width="17.29"/>
    <col customWidth="1" min="38" max="38" width="13.86"/>
    <col customWidth="1" min="39" max="39" width="14.57"/>
    <col customWidth="1" min="40" max="40" width="14.0"/>
    <col customWidth="1" min="41" max="41" width="13.43"/>
    <col customWidth="1" min="42" max="42" width="15.71"/>
    <col customWidth="1" min="43" max="43" width="18.43"/>
    <col customWidth="1" min="44" max="44" width="15.57"/>
    <col customWidth="1" min="45" max="45" width="16.57"/>
    <col customWidth="1" min="46" max="46" width="18.43"/>
    <col customWidth="1" min="47" max="47" width="17.71"/>
    <col customWidth="1" min="48" max="48" width="22.71"/>
    <col customWidth="1" min="49" max="49" width="17.71"/>
    <col customWidth="1" min="50" max="50" width="14.57"/>
    <col customWidth="1" min="51" max="51" width="14.0"/>
    <col customWidth="1" min="52" max="52" width="13.43"/>
    <col customWidth="1" min="53" max="53" width="13.57"/>
    <col customWidth="1" min="54" max="54" width="18.14"/>
    <col customWidth="1" min="55" max="55" width="17.14"/>
    <col customWidth="1" min="56" max="56" width="15.57"/>
    <col customWidth="1" min="57" max="57" width="16.43"/>
    <col customWidth="1" min="58" max="58" width="17.71"/>
    <col customWidth="1" min="59" max="59" width="17.86"/>
    <col customWidth="1" min="60" max="60" width="22.57"/>
    <col customWidth="1" min="61" max="61" width="17.14"/>
    <col customWidth="1" min="62" max="62" width="13.57"/>
    <col customWidth="1" min="63" max="63" width="13.14"/>
    <col customWidth="1" min="64" max="79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ht="13.5" customHeight="1">
      <c r="A2" s="4">
        <v>1.0</v>
      </c>
      <c r="B2" s="4" t="s">
        <v>102</v>
      </c>
      <c r="C2" s="4" t="s">
        <v>103</v>
      </c>
      <c r="D2" s="4">
        <v>2025.0</v>
      </c>
      <c r="E2" s="6">
        <v>30.0</v>
      </c>
      <c r="F2" s="4">
        <v>686.0</v>
      </c>
      <c r="G2" s="6">
        <v>6289.0</v>
      </c>
      <c r="H2" s="16">
        <v>686.0</v>
      </c>
      <c r="I2" s="6">
        <f t="shared" ref="I2:I101" si="1">sum(G2:H2)</f>
        <v>6975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</row>
    <row r="3" ht="13.5" customHeight="1">
      <c r="A3" s="4">
        <v>2.0</v>
      </c>
      <c r="B3" s="4" t="s">
        <v>102</v>
      </c>
      <c r="C3" s="4" t="s">
        <v>105</v>
      </c>
      <c r="D3" s="4">
        <v>2025.0</v>
      </c>
      <c r="E3" s="6">
        <v>25.04</v>
      </c>
      <c r="F3" s="4">
        <v>677.0</v>
      </c>
      <c r="G3" s="6">
        <v>8131.0</v>
      </c>
      <c r="H3" s="16">
        <v>677.0</v>
      </c>
      <c r="I3" s="6">
        <f t="shared" si="1"/>
        <v>8808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</row>
    <row r="4" ht="13.5" customHeight="1">
      <c r="A4" s="4">
        <v>3.0</v>
      </c>
      <c r="B4" s="4" t="s">
        <v>102</v>
      </c>
      <c r="C4" s="4" t="s">
        <v>106</v>
      </c>
      <c r="D4" s="4">
        <v>2025.0</v>
      </c>
      <c r="E4" s="6">
        <v>26.28</v>
      </c>
      <c r="F4" s="4">
        <v>792.0</v>
      </c>
      <c r="G4" s="6">
        <v>7939.0</v>
      </c>
      <c r="H4" s="16">
        <v>792.0</v>
      </c>
      <c r="I4" s="6">
        <f t="shared" si="1"/>
        <v>8731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</row>
    <row r="5" ht="13.5" customHeight="1">
      <c r="A5" s="4">
        <v>4.0</v>
      </c>
      <c r="B5" s="4" t="s">
        <v>102</v>
      </c>
      <c r="C5" s="4" t="s">
        <v>107</v>
      </c>
      <c r="D5" s="4">
        <v>2025.0</v>
      </c>
      <c r="E5" s="6">
        <v>28.02</v>
      </c>
      <c r="F5" s="4">
        <v>579.0</v>
      </c>
      <c r="G5" s="6">
        <v>6589.0</v>
      </c>
      <c r="H5" s="16">
        <v>579.0</v>
      </c>
      <c r="I5" s="6">
        <f t="shared" si="1"/>
        <v>7168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</row>
    <row r="6" ht="13.5" customHeight="1">
      <c r="A6" s="4">
        <v>5.0</v>
      </c>
      <c r="B6" s="4" t="s">
        <v>102</v>
      </c>
      <c r="C6" s="4" t="s">
        <v>108</v>
      </c>
      <c r="D6" s="4">
        <v>2025.0</v>
      </c>
      <c r="E6" s="6">
        <v>26.62</v>
      </c>
      <c r="F6" s="4">
        <v>868.0</v>
      </c>
      <c r="G6" s="6">
        <v>9523.0</v>
      </c>
      <c r="H6" s="16">
        <v>868.0</v>
      </c>
      <c r="I6" s="6">
        <f t="shared" si="1"/>
        <v>10391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</row>
    <row r="7" ht="13.5" customHeight="1">
      <c r="A7" s="4">
        <v>6.0</v>
      </c>
      <c r="B7" s="4" t="s">
        <v>102</v>
      </c>
      <c r="C7" s="4" t="s">
        <v>109</v>
      </c>
      <c r="D7" s="4">
        <v>2025.0</v>
      </c>
      <c r="E7" s="6">
        <v>22.13</v>
      </c>
      <c r="F7" s="4">
        <v>601.0</v>
      </c>
      <c r="G7" s="6">
        <v>7260.0</v>
      </c>
      <c r="H7" s="16">
        <v>601.0</v>
      </c>
      <c r="I7" s="6">
        <f t="shared" si="1"/>
        <v>7861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17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</row>
    <row r="8" ht="13.5" customHeight="1">
      <c r="A8" s="4">
        <v>7.0</v>
      </c>
      <c r="B8" s="4" t="s">
        <v>102</v>
      </c>
      <c r="C8" s="4" t="s">
        <v>110</v>
      </c>
      <c r="D8" s="4">
        <v>2025.0</v>
      </c>
      <c r="E8" s="6">
        <v>30.0</v>
      </c>
      <c r="F8" s="4">
        <v>282.0</v>
      </c>
      <c r="G8" s="6">
        <v>2989.0</v>
      </c>
      <c r="H8" s="16">
        <v>282.0</v>
      </c>
      <c r="I8" s="6">
        <f t="shared" si="1"/>
        <v>3271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</row>
    <row r="9" ht="13.5" customHeight="1">
      <c r="A9" s="4">
        <v>8.0</v>
      </c>
      <c r="B9" s="4" t="s">
        <v>102</v>
      </c>
      <c r="C9" s="4" t="s">
        <v>111</v>
      </c>
      <c r="D9" s="4">
        <v>2025.0</v>
      </c>
      <c r="E9" s="6">
        <v>23.91</v>
      </c>
      <c r="F9" s="4">
        <v>460.0</v>
      </c>
      <c r="G9" s="6">
        <v>5684.0</v>
      </c>
      <c r="H9" s="16">
        <v>460.0</v>
      </c>
      <c r="I9" s="6">
        <f t="shared" si="1"/>
        <v>6144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</row>
    <row r="10" ht="13.5" customHeight="1">
      <c r="A10" s="4">
        <v>9.0</v>
      </c>
      <c r="B10" s="4" t="s">
        <v>112</v>
      </c>
      <c r="C10" s="4" t="s">
        <v>113</v>
      </c>
      <c r="D10" s="4">
        <v>2025.0</v>
      </c>
      <c r="E10" s="6">
        <v>21.87</v>
      </c>
      <c r="F10" s="4">
        <v>320.0</v>
      </c>
      <c r="G10" s="6">
        <v>5172.0</v>
      </c>
      <c r="H10" s="16">
        <v>320.0</v>
      </c>
      <c r="I10" s="6">
        <f t="shared" si="1"/>
        <v>5492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</row>
    <row r="11" ht="13.5" customHeight="1">
      <c r="A11" s="4">
        <v>10.0</v>
      </c>
      <c r="B11" s="4" t="s">
        <v>114</v>
      </c>
      <c r="C11" s="4" t="s">
        <v>115</v>
      </c>
      <c r="D11" s="4">
        <v>2025.0</v>
      </c>
      <c r="E11" s="6">
        <v>18.42</v>
      </c>
      <c r="F11" s="4">
        <v>382.0</v>
      </c>
      <c r="G11" s="6">
        <v>7696.0</v>
      </c>
      <c r="H11" s="16">
        <v>382.0</v>
      </c>
      <c r="I11" s="6">
        <f t="shared" si="1"/>
        <v>8078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</row>
    <row r="12" ht="13.5" customHeight="1">
      <c r="A12" s="4">
        <v>11.0</v>
      </c>
      <c r="B12" s="4" t="s">
        <v>116</v>
      </c>
      <c r="C12" s="4" t="s">
        <v>117</v>
      </c>
      <c r="D12" s="4">
        <v>2025.0</v>
      </c>
      <c r="E12" s="6">
        <v>27.49</v>
      </c>
      <c r="F12" s="4">
        <v>810.0</v>
      </c>
      <c r="G12" s="6">
        <v>11567.0</v>
      </c>
      <c r="H12" s="16">
        <v>810.0</v>
      </c>
      <c r="I12" s="6">
        <f t="shared" si="1"/>
        <v>12377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</row>
    <row r="13" ht="13.5" customHeight="1">
      <c r="A13" s="4">
        <v>12.0</v>
      </c>
      <c r="B13" s="4" t="s">
        <v>102</v>
      </c>
      <c r="C13" s="4" t="s">
        <v>119</v>
      </c>
      <c r="D13" s="4">
        <v>2025.0</v>
      </c>
      <c r="E13" s="6">
        <v>30.0</v>
      </c>
      <c r="F13" s="4">
        <v>229.0</v>
      </c>
      <c r="G13" s="6">
        <v>2092.0</v>
      </c>
      <c r="H13" s="16">
        <v>229.0</v>
      </c>
      <c r="I13" s="6">
        <f t="shared" si="1"/>
        <v>2321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</row>
    <row r="14" ht="13.5" customHeight="1">
      <c r="A14" s="4">
        <v>13.0</v>
      </c>
      <c r="B14" s="4" t="s">
        <v>112</v>
      </c>
      <c r="C14" s="4" t="s">
        <v>120</v>
      </c>
      <c r="D14" s="4">
        <v>2025.0</v>
      </c>
      <c r="E14" s="6">
        <v>29.09</v>
      </c>
      <c r="F14" s="4">
        <v>403.0</v>
      </c>
      <c r="G14" s="6">
        <v>5192.0</v>
      </c>
      <c r="H14" s="16">
        <v>403.0</v>
      </c>
      <c r="I14" s="6">
        <f t="shared" si="1"/>
        <v>5595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</row>
    <row r="15" ht="13.5" customHeight="1">
      <c r="A15" s="4">
        <v>14.0</v>
      </c>
      <c r="B15" s="4" t="s">
        <v>121</v>
      </c>
      <c r="C15" s="4" t="s">
        <v>103</v>
      </c>
      <c r="D15" s="4">
        <v>2025.0</v>
      </c>
      <c r="E15" s="6">
        <v>30.0</v>
      </c>
      <c r="F15" s="4">
        <v>1661.0</v>
      </c>
      <c r="G15" s="6">
        <v>23494.0</v>
      </c>
      <c r="H15" s="16">
        <v>1661.0</v>
      </c>
      <c r="I15" s="6">
        <f t="shared" si="1"/>
        <v>25155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</row>
    <row r="16" ht="13.5" customHeight="1">
      <c r="A16" s="4">
        <v>15.0</v>
      </c>
      <c r="B16" s="4" t="s">
        <v>122</v>
      </c>
      <c r="C16" s="4" t="s">
        <v>123</v>
      </c>
      <c r="D16" s="4">
        <v>2025.0</v>
      </c>
      <c r="E16" s="6">
        <v>23.22</v>
      </c>
      <c r="F16" s="4">
        <v>459.0</v>
      </c>
      <c r="G16" s="6">
        <v>5771.0</v>
      </c>
      <c r="H16" s="16">
        <v>459.0</v>
      </c>
      <c r="I16" s="6">
        <f t="shared" si="1"/>
        <v>6230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</row>
    <row r="17" ht="13.5" customHeight="1">
      <c r="A17" s="4">
        <v>16.0</v>
      </c>
      <c r="B17" s="4" t="s">
        <v>124</v>
      </c>
      <c r="C17" s="4" t="s">
        <v>125</v>
      </c>
      <c r="D17" s="4">
        <v>2025.0</v>
      </c>
      <c r="E17" s="6">
        <v>22.26</v>
      </c>
      <c r="F17" s="4">
        <v>3154.0</v>
      </c>
      <c r="G17" s="6">
        <v>38973.0</v>
      </c>
      <c r="H17" s="16">
        <v>3154.0</v>
      </c>
      <c r="I17" s="6">
        <f t="shared" si="1"/>
        <v>42127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</row>
    <row r="18" ht="13.5" customHeight="1">
      <c r="A18" s="4">
        <v>17.0</v>
      </c>
      <c r="B18" s="4" t="s">
        <v>126</v>
      </c>
      <c r="C18" s="4" t="s">
        <v>127</v>
      </c>
      <c r="D18" s="4">
        <v>2025.0</v>
      </c>
      <c r="E18" s="6">
        <v>20.2</v>
      </c>
      <c r="F18" s="4">
        <v>316.0</v>
      </c>
      <c r="G18" s="6">
        <v>4118.0</v>
      </c>
      <c r="H18" s="16">
        <v>316.0</v>
      </c>
      <c r="I18" s="6">
        <f t="shared" si="1"/>
        <v>4434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</row>
    <row r="19" ht="13.5" customHeight="1">
      <c r="A19" s="4">
        <v>18.0</v>
      </c>
      <c r="B19" s="4" t="s">
        <v>128</v>
      </c>
      <c r="C19" s="4" t="s">
        <v>129</v>
      </c>
      <c r="D19" s="4">
        <v>2025.0</v>
      </c>
      <c r="E19" s="6">
        <v>29.14</v>
      </c>
      <c r="F19" s="4">
        <v>461.0</v>
      </c>
      <c r="G19" s="6">
        <v>5770.0</v>
      </c>
      <c r="H19" s="16">
        <v>461.0</v>
      </c>
      <c r="I19" s="6">
        <f t="shared" si="1"/>
        <v>6231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</row>
    <row r="20" ht="13.5" customHeight="1">
      <c r="A20" s="4">
        <v>19.0</v>
      </c>
      <c r="B20" s="4" t="s">
        <v>102</v>
      </c>
      <c r="C20" s="4" t="s">
        <v>130</v>
      </c>
      <c r="D20" s="4">
        <v>2025.0</v>
      </c>
      <c r="E20" s="6">
        <v>28.35</v>
      </c>
      <c r="F20" s="4">
        <v>264.0</v>
      </c>
      <c r="G20" s="6">
        <v>2555.0</v>
      </c>
      <c r="H20" s="16">
        <v>264.0</v>
      </c>
      <c r="I20" s="6">
        <f t="shared" si="1"/>
        <v>2819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</row>
    <row r="21" ht="13.5" customHeight="1">
      <c r="A21" s="4">
        <v>20.0</v>
      </c>
      <c r="B21" s="4" t="s">
        <v>131</v>
      </c>
      <c r="C21" s="4" t="s">
        <v>103</v>
      </c>
      <c r="D21" s="4">
        <v>2025.0</v>
      </c>
      <c r="E21" s="6">
        <v>24.65</v>
      </c>
      <c r="F21" s="4">
        <v>809.0</v>
      </c>
      <c r="G21" s="6">
        <v>12197.0</v>
      </c>
      <c r="H21" s="16">
        <v>809.0</v>
      </c>
      <c r="I21" s="6">
        <f t="shared" si="1"/>
        <v>13006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</row>
    <row r="22" ht="13.5" customHeight="1">
      <c r="A22" s="4">
        <v>21.0</v>
      </c>
      <c r="B22" s="4" t="s">
        <v>132</v>
      </c>
      <c r="C22" s="4" t="s">
        <v>133</v>
      </c>
      <c r="D22" s="4">
        <v>2025.0</v>
      </c>
      <c r="E22" s="6">
        <v>29.16</v>
      </c>
      <c r="F22" s="4">
        <v>361.0</v>
      </c>
      <c r="G22" s="6">
        <v>4540.0</v>
      </c>
      <c r="H22" s="16">
        <v>361.0</v>
      </c>
      <c r="I22" s="6">
        <f t="shared" si="1"/>
        <v>4901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</row>
    <row r="23" ht="13.5" customHeight="1">
      <c r="A23" s="4">
        <v>22.0</v>
      </c>
      <c r="B23" s="4" t="s">
        <v>134</v>
      </c>
      <c r="C23" s="4" t="s">
        <v>135</v>
      </c>
      <c r="D23" s="4">
        <v>2025.0</v>
      </c>
      <c r="E23" s="6">
        <v>29.56</v>
      </c>
      <c r="F23" s="4">
        <v>709.0</v>
      </c>
      <c r="G23" s="6">
        <v>9840.0</v>
      </c>
      <c r="H23" s="16">
        <v>709.0</v>
      </c>
      <c r="I23" s="6">
        <f t="shared" si="1"/>
        <v>10549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</row>
    <row r="24" ht="13.5" customHeight="1">
      <c r="A24" s="4">
        <v>23.0</v>
      </c>
      <c r="B24" s="4" t="s">
        <v>136</v>
      </c>
      <c r="C24" s="4" t="s">
        <v>137</v>
      </c>
      <c r="D24" s="4">
        <v>2025.0</v>
      </c>
      <c r="E24" s="6">
        <v>29.38</v>
      </c>
      <c r="F24" s="6">
        <v>1077.0</v>
      </c>
      <c r="G24" s="6">
        <v>14534.0</v>
      </c>
      <c r="H24" s="18">
        <v>1077.0</v>
      </c>
      <c r="I24" s="6">
        <f t="shared" si="1"/>
        <v>15611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</row>
    <row r="25" ht="13.5" customHeight="1">
      <c r="A25" s="4">
        <v>24.0</v>
      </c>
      <c r="B25" s="4" t="s">
        <v>138</v>
      </c>
      <c r="C25" s="4" t="s">
        <v>105</v>
      </c>
      <c r="D25" s="4">
        <v>2025.0</v>
      </c>
      <c r="E25" s="6">
        <v>26.57</v>
      </c>
      <c r="F25" s="4">
        <v>131.0</v>
      </c>
      <c r="G25" s="6">
        <v>1748.0</v>
      </c>
      <c r="H25" s="16">
        <v>131.0</v>
      </c>
      <c r="I25" s="6">
        <f t="shared" si="1"/>
        <v>1879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</row>
    <row r="26" ht="13.5" customHeight="1">
      <c r="A26" s="4">
        <v>25.0</v>
      </c>
      <c r="B26" s="4" t="s">
        <v>102</v>
      </c>
      <c r="C26" s="4" t="s">
        <v>140</v>
      </c>
      <c r="D26" s="4">
        <v>2025.0</v>
      </c>
      <c r="E26" s="6">
        <v>29.57</v>
      </c>
      <c r="F26" s="4">
        <v>154.0</v>
      </c>
      <c r="G26" s="6">
        <v>1450.0</v>
      </c>
      <c r="H26" s="16">
        <v>154.0</v>
      </c>
      <c r="I26" s="6">
        <f t="shared" si="1"/>
        <v>1604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</row>
    <row r="27" ht="13.5" customHeight="1">
      <c r="A27" s="4">
        <v>26.0</v>
      </c>
      <c r="B27" s="4" t="s">
        <v>102</v>
      </c>
      <c r="C27" s="4" t="s">
        <v>141</v>
      </c>
      <c r="D27" s="4">
        <v>2025.0</v>
      </c>
      <c r="E27" s="6">
        <v>28.57</v>
      </c>
      <c r="F27" s="4">
        <v>211.0</v>
      </c>
      <c r="G27" s="6">
        <v>2053.0</v>
      </c>
      <c r="H27" s="16">
        <v>211.0</v>
      </c>
      <c r="I27" s="6">
        <f t="shared" si="1"/>
        <v>2264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</row>
    <row r="28" ht="13.5" customHeight="1">
      <c r="A28" s="4">
        <v>27.0</v>
      </c>
      <c r="B28" s="4" t="s">
        <v>102</v>
      </c>
      <c r="C28" s="4" t="s">
        <v>142</v>
      </c>
      <c r="D28" s="4">
        <v>2025.0</v>
      </c>
      <c r="E28" s="6">
        <v>30.0</v>
      </c>
      <c r="F28" s="4">
        <v>289.0</v>
      </c>
      <c r="G28" s="6">
        <v>2536.0</v>
      </c>
      <c r="H28" s="16">
        <v>289.0</v>
      </c>
      <c r="I28" s="6">
        <f t="shared" si="1"/>
        <v>2825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</row>
    <row r="29" ht="13.5" customHeight="1">
      <c r="A29" s="4">
        <v>28.0</v>
      </c>
      <c r="B29" s="4" t="s">
        <v>112</v>
      </c>
      <c r="C29" s="4" t="s">
        <v>143</v>
      </c>
      <c r="D29" s="4">
        <v>2025.0</v>
      </c>
      <c r="E29" s="6">
        <v>24.84</v>
      </c>
      <c r="F29" s="4">
        <v>398.0</v>
      </c>
      <c r="G29" s="6">
        <v>5228.0</v>
      </c>
      <c r="H29" s="16">
        <v>398.0</v>
      </c>
      <c r="I29" s="6">
        <f t="shared" si="1"/>
        <v>5626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</row>
    <row r="30" ht="13.5" customHeight="1">
      <c r="A30" s="4">
        <v>29.0</v>
      </c>
      <c r="B30" s="4" t="s">
        <v>144</v>
      </c>
      <c r="C30" s="4" t="s">
        <v>145</v>
      </c>
      <c r="D30" s="4">
        <v>2025.0</v>
      </c>
      <c r="E30" s="6">
        <v>25.88</v>
      </c>
      <c r="F30" s="4">
        <v>731.0</v>
      </c>
      <c r="G30" s="6">
        <v>10471.0</v>
      </c>
      <c r="H30" s="16">
        <v>731.0</v>
      </c>
      <c r="I30" s="6">
        <f t="shared" si="1"/>
        <v>11202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</row>
    <row r="31" ht="13.5" customHeight="1">
      <c r="A31" s="4">
        <v>30.0</v>
      </c>
      <c r="B31" s="4" t="s">
        <v>147</v>
      </c>
      <c r="C31" s="4" t="s">
        <v>105</v>
      </c>
      <c r="D31" s="4">
        <v>2025.0</v>
      </c>
      <c r="E31" s="6">
        <v>30.0</v>
      </c>
      <c r="F31" s="4">
        <v>878.0</v>
      </c>
      <c r="G31" s="6">
        <v>10901.0</v>
      </c>
      <c r="H31" s="16">
        <v>878.0</v>
      </c>
      <c r="I31" s="6">
        <f t="shared" si="1"/>
        <v>11779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</row>
    <row r="32" ht="13.5" customHeight="1">
      <c r="A32" s="4">
        <v>31.0</v>
      </c>
      <c r="B32" s="9" t="s">
        <v>148</v>
      </c>
      <c r="C32" s="9" t="s">
        <v>149</v>
      </c>
      <c r="D32" s="9">
        <v>2025.0</v>
      </c>
      <c r="E32" s="6">
        <v>28.58</v>
      </c>
      <c r="F32" s="10">
        <v>999.0</v>
      </c>
      <c r="G32" s="19">
        <v>14247.0</v>
      </c>
      <c r="H32" s="16">
        <v>999.0</v>
      </c>
      <c r="I32" s="6">
        <f t="shared" si="1"/>
        <v>15246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</row>
    <row r="33" ht="13.5" customHeight="1">
      <c r="A33" s="4">
        <v>32.0</v>
      </c>
      <c r="B33" s="4" t="s">
        <v>150</v>
      </c>
      <c r="C33" s="4" t="s">
        <v>151</v>
      </c>
      <c r="D33" s="4">
        <v>2025.0</v>
      </c>
      <c r="E33" s="6">
        <v>24.53</v>
      </c>
      <c r="F33" s="4">
        <v>181.0</v>
      </c>
      <c r="G33" s="6">
        <v>2201.0</v>
      </c>
      <c r="H33" s="16">
        <v>181.0</v>
      </c>
      <c r="I33" s="6">
        <f t="shared" si="1"/>
        <v>2382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</row>
    <row r="34" ht="13.5" customHeight="1">
      <c r="A34" s="4">
        <v>33.0</v>
      </c>
      <c r="B34" s="4" t="s">
        <v>152</v>
      </c>
      <c r="C34" s="4" t="s">
        <v>153</v>
      </c>
      <c r="D34" s="4">
        <v>2025.0</v>
      </c>
      <c r="E34" s="6">
        <v>30.0</v>
      </c>
      <c r="F34" s="4">
        <v>489.0</v>
      </c>
      <c r="G34" s="6">
        <v>6798.0</v>
      </c>
      <c r="H34" s="16">
        <v>489.0</v>
      </c>
      <c r="I34" s="6">
        <f t="shared" si="1"/>
        <v>7287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</row>
    <row r="35" ht="13.5" customHeight="1">
      <c r="A35" s="4">
        <v>34.0</v>
      </c>
      <c r="B35" s="4" t="s">
        <v>154</v>
      </c>
      <c r="C35" s="4" t="s">
        <v>155</v>
      </c>
      <c r="D35" s="4">
        <v>2025.0</v>
      </c>
      <c r="E35" s="6">
        <v>30.0</v>
      </c>
      <c r="F35" s="4">
        <v>217.0</v>
      </c>
      <c r="G35" s="6">
        <v>2134.0</v>
      </c>
      <c r="H35" s="16">
        <v>217.0</v>
      </c>
      <c r="I35" s="6">
        <f t="shared" si="1"/>
        <v>2351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</row>
    <row r="36" ht="13.5" customHeight="1">
      <c r="A36" s="4">
        <v>35.0</v>
      </c>
      <c r="B36" s="4" t="s">
        <v>156</v>
      </c>
      <c r="C36" s="4" t="s">
        <v>157</v>
      </c>
      <c r="D36" s="4">
        <v>2025.0</v>
      </c>
      <c r="E36" s="6">
        <v>30.0</v>
      </c>
      <c r="F36" s="4">
        <v>942.0</v>
      </c>
      <c r="G36" s="6">
        <v>13584.0</v>
      </c>
      <c r="H36" s="16">
        <v>942.0</v>
      </c>
      <c r="I36" s="6">
        <f t="shared" si="1"/>
        <v>14526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</row>
    <row r="37" ht="13.5" customHeight="1">
      <c r="A37" s="4">
        <v>36.0</v>
      </c>
      <c r="B37" s="4" t="s">
        <v>158</v>
      </c>
      <c r="C37" s="4" t="s">
        <v>135</v>
      </c>
      <c r="D37" s="4">
        <v>2025.0</v>
      </c>
      <c r="E37" s="6">
        <v>26.24</v>
      </c>
      <c r="F37" s="4">
        <v>1078.0</v>
      </c>
      <c r="G37" s="6">
        <v>13624.0</v>
      </c>
      <c r="H37" s="16">
        <v>1078.0</v>
      </c>
      <c r="I37" s="6">
        <f t="shared" si="1"/>
        <v>14702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</row>
    <row r="38" ht="13.5" customHeight="1">
      <c r="A38" s="4">
        <v>37.0</v>
      </c>
      <c r="B38" s="4" t="s">
        <v>159</v>
      </c>
      <c r="C38" s="4" t="s">
        <v>160</v>
      </c>
      <c r="D38" s="4">
        <v>2025.0</v>
      </c>
      <c r="E38" s="6">
        <v>24.67</v>
      </c>
      <c r="F38" s="4">
        <v>409.0</v>
      </c>
      <c r="G38" s="6">
        <v>7119.0</v>
      </c>
      <c r="H38" s="16">
        <v>409.0</v>
      </c>
      <c r="I38" s="6">
        <f t="shared" si="1"/>
        <v>7528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</row>
    <row r="39" ht="13.5" customHeight="1">
      <c r="A39" s="4">
        <v>38.0</v>
      </c>
      <c r="B39" s="4" t="s">
        <v>161</v>
      </c>
      <c r="C39" s="4" t="s">
        <v>110</v>
      </c>
      <c r="D39" s="4">
        <v>2025.0</v>
      </c>
      <c r="E39" s="6">
        <v>28.8</v>
      </c>
      <c r="F39" s="4">
        <v>141.0</v>
      </c>
      <c r="G39" s="6">
        <v>1716.0</v>
      </c>
      <c r="H39" s="16">
        <v>141.0</v>
      </c>
      <c r="I39" s="6">
        <f t="shared" si="1"/>
        <v>1857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</row>
    <row r="40" ht="13.5" customHeight="1">
      <c r="A40" s="4">
        <v>39.0</v>
      </c>
      <c r="B40" s="4" t="s">
        <v>163</v>
      </c>
      <c r="C40" s="4" t="s">
        <v>164</v>
      </c>
      <c r="D40" s="4">
        <v>2025.0</v>
      </c>
      <c r="E40" s="6">
        <v>26.69</v>
      </c>
      <c r="F40" s="4">
        <v>201.0</v>
      </c>
      <c r="G40" s="6">
        <v>2551.0</v>
      </c>
      <c r="H40" s="16">
        <v>201.0</v>
      </c>
      <c r="I40" s="6">
        <f t="shared" si="1"/>
        <v>2752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</row>
    <row r="41" ht="13.5" customHeight="1">
      <c r="A41" s="4">
        <v>40.0</v>
      </c>
      <c r="B41" s="4" t="s">
        <v>165</v>
      </c>
      <c r="C41" s="4" t="s">
        <v>166</v>
      </c>
      <c r="D41" s="4">
        <v>2025.0</v>
      </c>
      <c r="E41" s="6">
        <v>30.0</v>
      </c>
      <c r="F41" s="4">
        <v>680.0</v>
      </c>
      <c r="G41" s="6">
        <v>9173.0</v>
      </c>
      <c r="H41" s="16">
        <v>680.0</v>
      </c>
      <c r="I41" s="6">
        <f t="shared" si="1"/>
        <v>9853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</row>
    <row r="42" ht="13.5" customHeight="1">
      <c r="A42" s="4">
        <v>41.0</v>
      </c>
      <c r="B42" s="4" t="s">
        <v>167</v>
      </c>
      <c r="C42" s="4" t="s">
        <v>106</v>
      </c>
      <c r="D42" s="4">
        <v>2025.0</v>
      </c>
      <c r="E42" s="6">
        <v>28.08</v>
      </c>
      <c r="F42" s="4">
        <v>183.0</v>
      </c>
      <c r="G42" s="6">
        <v>2214.0</v>
      </c>
      <c r="H42" s="16">
        <v>183.0</v>
      </c>
      <c r="I42" s="6">
        <f t="shared" si="1"/>
        <v>2397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</row>
    <row r="43" ht="13.5" customHeight="1">
      <c r="A43" s="4">
        <v>42.0</v>
      </c>
      <c r="B43" s="4" t="s">
        <v>168</v>
      </c>
      <c r="C43" s="4" t="s">
        <v>169</v>
      </c>
      <c r="D43" s="4">
        <v>2025.0</v>
      </c>
      <c r="E43" s="6">
        <v>23.74</v>
      </c>
      <c r="F43" s="4">
        <v>328.0</v>
      </c>
      <c r="G43" s="6">
        <v>4180.0</v>
      </c>
      <c r="H43" s="16">
        <v>328.0</v>
      </c>
      <c r="I43" s="6">
        <f t="shared" si="1"/>
        <v>4508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</row>
    <row r="44" ht="13.5" customHeight="1">
      <c r="A44" s="4">
        <v>43.0</v>
      </c>
      <c r="B44" s="4" t="s">
        <v>170</v>
      </c>
      <c r="C44" s="4" t="s">
        <v>171</v>
      </c>
      <c r="D44" s="4">
        <v>2025.0</v>
      </c>
      <c r="E44" s="6">
        <v>24.22</v>
      </c>
      <c r="F44" s="4">
        <v>497.0</v>
      </c>
      <c r="G44" s="6">
        <v>6460.0</v>
      </c>
      <c r="H44" s="16">
        <v>497.0</v>
      </c>
      <c r="I44" s="6">
        <f t="shared" si="1"/>
        <v>6957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</row>
    <row r="45" ht="13.5" customHeight="1">
      <c r="A45" s="4">
        <v>44.0</v>
      </c>
      <c r="B45" s="4" t="s">
        <v>172</v>
      </c>
      <c r="C45" s="4" t="s">
        <v>173</v>
      </c>
      <c r="D45" s="4">
        <v>2025.0</v>
      </c>
      <c r="E45" s="6">
        <v>24.99</v>
      </c>
      <c r="F45" s="4">
        <v>266.0</v>
      </c>
      <c r="G45" s="6">
        <v>4288.0</v>
      </c>
      <c r="H45" s="16">
        <v>266.0</v>
      </c>
      <c r="I45" s="6">
        <f t="shared" si="1"/>
        <v>4554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</row>
    <row r="46" ht="13.5" customHeight="1">
      <c r="A46" s="4">
        <v>45.0</v>
      </c>
      <c r="B46" s="11" t="s">
        <v>174</v>
      </c>
      <c r="C46" s="4" t="s">
        <v>103</v>
      </c>
      <c r="D46" s="4">
        <v>2025.0</v>
      </c>
      <c r="E46" s="6">
        <v>30.0</v>
      </c>
      <c r="F46" s="4">
        <v>621.0</v>
      </c>
      <c r="G46" s="6">
        <v>7926.0</v>
      </c>
      <c r="H46" s="16">
        <v>621.0</v>
      </c>
      <c r="I46" s="6">
        <f t="shared" si="1"/>
        <v>8547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</row>
    <row r="47" ht="13.5" customHeight="1">
      <c r="A47" s="4">
        <v>46.0</v>
      </c>
      <c r="B47" s="4" t="s">
        <v>175</v>
      </c>
      <c r="C47" s="4" t="s">
        <v>176</v>
      </c>
      <c r="D47" s="4">
        <v>2025.0</v>
      </c>
      <c r="E47" s="6">
        <v>28.57</v>
      </c>
      <c r="F47" s="4">
        <v>183.0</v>
      </c>
      <c r="G47" s="6">
        <v>2562.0</v>
      </c>
      <c r="H47" s="16">
        <v>183.0</v>
      </c>
      <c r="I47" s="6">
        <f t="shared" si="1"/>
        <v>2745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</row>
    <row r="48" ht="13.5" customHeight="1">
      <c r="A48" s="4">
        <v>47.0</v>
      </c>
      <c r="B48" s="12" t="s">
        <v>177</v>
      </c>
      <c r="C48" s="4" t="s">
        <v>178</v>
      </c>
      <c r="D48" s="4">
        <v>2025.0</v>
      </c>
      <c r="E48" s="6">
        <v>28.43</v>
      </c>
      <c r="F48" s="4">
        <v>340.0</v>
      </c>
      <c r="G48" s="6">
        <v>3642.0</v>
      </c>
      <c r="H48" s="16">
        <v>340.0</v>
      </c>
      <c r="I48" s="6">
        <f t="shared" si="1"/>
        <v>3982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</row>
    <row r="49" ht="13.5" customHeight="1">
      <c r="A49" s="4">
        <v>48.0</v>
      </c>
      <c r="B49" s="4" t="s">
        <v>179</v>
      </c>
      <c r="C49" s="4" t="s">
        <v>180</v>
      </c>
      <c r="D49" s="4">
        <v>2025.0</v>
      </c>
      <c r="E49" s="6">
        <v>24.34</v>
      </c>
      <c r="F49" s="4">
        <v>1077.0</v>
      </c>
      <c r="G49" s="6">
        <v>18304.0</v>
      </c>
      <c r="H49" s="16">
        <v>1077.0</v>
      </c>
      <c r="I49" s="6">
        <f t="shared" si="1"/>
        <v>19381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</row>
    <row r="50" ht="13.5" customHeight="1">
      <c r="A50" s="4">
        <v>49.0</v>
      </c>
      <c r="B50" s="4" t="s">
        <v>181</v>
      </c>
      <c r="C50" s="4" t="s">
        <v>182</v>
      </c>
      <c r="D50" s="4">
        <v>2025.0</v>
      </c>
      <c r="E50" s="6">
        <v>24.73</v>
      </c>
      <c r="F50" s="4">
        <v>283.0</v>
      </c>
      <c r="G50" s="6">
        <v>4180.0</v>
      </c>
      <c r="H50" s="16">
        <v>283.0</v>
      </c>
      <c r="I50" s="6">
        <f t="shared" si="1"/>
        <v>4463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</row>
    <row r="51" ht="13.5" customHeight="1">
      <c r="A51" s="4">
        <v>50.0</v>
      </c>
      <c r="B51" s="4" t="s">
        <v>183</v>
      </c>
      <c r="C51" s="4" t="s">
        <v>184</v>
      </c>
      <c r="D51" s="4">
        <v>2025.0</v>
      </c>
      <c r="E51" s="6">
        <v>22.03</v>
      </c>
      <c r="F51" s="4">
        <v>257.0</v>
      </c>
      <c r="G51" s="6">
        <v>4036.0</v>
      </c>
      <c r="H51" s="16">
        <v>257.0</v>
      </c>
      <c r="I51" s="6">
        <f t="shared" si="1"/>
        <v>4293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</row>
    <row r="52" ht="13.5" customHeight="1">
      <c r="A52" s="4">
        <v>51.0</v>
      </c>
      <c r="B52" s="4" t="s">
        <v>185</v>
      </c>
      <c r="C52" s="4" t="s">
        <v>186</v>
      </c>
      <c r="D52" s="4">
        <v>2025.0</v>
      </c>
      <c r="E52" s="6">
        <v>30.0</v>
      </c>
      <c r="F52" s="4">
        <v>280.0</v>
      </c>
      <c r="G52" s="6">
        <v>3740.0</v>
      </c>
      <c r="H52" s="16">
        <v>280.0</v>
      </c>
      <c r="I52" s="6">
        <f t="shared" si="1"/>
        <v>4020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</row>
    <row r="53" ht="13.5" customHeight="1">
      <c r="A53" s="4">
        <v>52.0</v>
      </c>
      <c r="B53" s="4" t="s">
        <v>187</v>
      </c>
      <c r="C53" s="4" t="s">
        <v>171</v>
      </c>
      <c r="D53" s="4">
        <v>2025.0</v>
      </c>
      <c r="E53" s="6">
        <v>28.39</v>
      </c>
      <c r="F53" s="4">
        <v>360.0</v>
      </c>
      <c r="G53" s="6">
        <v>4860.0</v>
      </c>
      <c r="H53" s="16">
        <v>360.0</v>
      </c>
      <c r="I53" s="6">
        <f t="shared" si="1"/>
        <v>5220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</row>
    <row r="54" ht="13.5" customHeight="1">
      <c r="A54" s="4">
        <v>53.0</v>
      </c>
      <c r="B54" s="4" t="s">
        <v>188</v>
      </c>
      <c r="C54" s="4" t="s">
        <v>130</v>
      </c>
      <c r="D54" s="4">
        <v>2025.0</v>
      </c>
      <c r="E54" s="6">
        <v>19.7</v>
      </c>
      <c r="F54" s="4">
        <v>173.0</v>
      </c>
      <c r="G54" s="6">
        <v>3527.0</v>
      </c>
      <c r="H54" s="16">
        <v>173.0</v>
      </c>
      <c r="I54" s="6">
        <f t="shared" si="1"/>
        <v>3700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</row>
    <row r="55" ht="13.5" customHeight="1">
      <c r="A55" s="4">
        <v>54.0</v>
      </c>
      <c r="B55" s="4" t="s">
        <v>189</v>
      </c>
      <c r="C55" s="4" t="s">
        <v>190</v>
      </c>
      <c r="D55" s="4">
        <v>2025.0</v>
      </c>
      <c r="E55" s="6">
        <v>23.03</v>
      </c>
      <c r="F55" s="4">
        <v>279.0</v>
      </c>
      <c r="G55" s="6">
        <v>3806.0</v>
      </c>
      <c r="H55" s="16">
        <v>279.0</v>
      </c>
      <c r="I55" s="6">
        <f t="shared" si="1"/>
        <v>4085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</row>
    <row r="56" ht="13.5" customHeight="1">
      <c r="A56" s="4">
        <v>55.0</v>
      </c>
      <c r="B56" s="4" t="s">
        <v>191</v>
      </c>
      <c r="C56" s="4" t="s">
        <v>192</v>
      </c>
      <c r="D56" s="4">
        <v>2025.0</v>
      </c>
      <c r="E56" s="6">
        <v>29.97</v>
      </c>
      <c r="F56" s="4">
        <v>397.0</v>
      </c>
      <c r="G56" s="6">
        <v>5463.0</v>
      </c>
      <c r="H56" s="16">
        <v>397.0</v>
      </c>
      <c r="I56" s="6">
        <f t="shared" si="1"/>
        <v>5860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</row>
    <row r="57" ht="13.5" customHeight="1">
      <c r="A57" s="4">
        <v>56.0</v>
      </c>
      <c r="B57" s="4" t="s">
        <v>193</v>
      </c>
      <c r="C57" s="4" t="s">
        <v>194</v>
      </c>
      <c r="D57" s="4">
        <v>2025.0</v>
      </c>
      <c r="E57" s="6">
        <v>30.0</v>
      </c>
      <c r="F57" s="4">
        <v>138.0</v>
      </c>
      <c r="G57" s="6">
        <v>1349.0</v>
      </c>
      <c r="H57" s="16">
        <v>138.0</v>
      </c>
      <c r="I57" s="6">
        <f t="shared" si="1"/>
        <v>1487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</row>
    <row r="58" ht="13.5" customHeight="1">
      <c r="A58" s="4">
        <v>57.0</v>
      </c>
      <c r="B58" s="4" t="s">
        <v>195</v>
      </c>
      <c r="C58" s="4" t="s">
        <v>196</v>
      </c>
      <c r="D58" s="4">
        <v>2025.0</v>
      </c>
      <c r="E58" s="6">
        <v>30.0</v>
      </c>
      <c r="F58" s="4">
        <v>124.0</v>
      </c>
      <c r="G58" s="6">
        <v>1213.0</v>
      </c>
      <c r="H58" s="16">
        <v>124.0</v>
      </c>
      <c r="I58" s="6">
        <f t="shared" si="1"/>
        <v>1337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</row>
    <row r="59" ht="13.5" customHeight="1">
      <c r="A59" s="4">
        <v>58.0</v>
      </c>
      <c r="B59" s="4" t="s">
        <v>197</v>
      </c>
      <c r="C59" s="4" t="s">
        <v>169</v>
      </c>
      <c r="D59" s="4">
        <v>2025.0</v>
      </c>
      <c r="E59" s="6">
        <v>29.28</v>
      </c>
      <c r="F59" s="4">
        <v>647.0</v>
      </c>
      <c r="G59" s="6">
        <v>9324.0</v>
      </c>
      <c r="H59" s="16">
        <v>647.0</v>
      </c>
      <c r="I59" s="6">
        <f t="shared" si="1"/>
        <v>9971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</row>
    <row r="60" ht="13.5" customHeight="1">
      <c r="A60" s="4">
        <v>59.0</v>
      </c>
      <c r="B60" s="4" t="s">
        <v>198</v>
      </c>
      <c r="C60" s="4" t="s">
        <v>199</v>
      </c>
      <c r="D60" s="4">
        <v>2025.0</v>
      </c>
      <c r="E60" s="6">
        <v>26.6</v>
      </c>
      <c r="F60" s="4">
        <v>735.0</v>
      </c>
      <c r="G60" s="6">
        <v>10610.0</v>
      </c>
      <c r="H60" s="16">
        <v>735.0</v>
      </c>
      <c r="I60" s="6">
        <f t="shared" si="1"/>
        <v>11345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</row>
    <row r="61" ht="13.5" customHeight="1">
      <c r="A61" s="4">
        <v>60.0</v>
      </c>
      <c r="B61" s="4" t="s">
        <v>200</v>
      </c>
      <c r="C61" s="4" t="s">
        <v>201</v>
      </c>
      <c r="D61" s="4">
        <v>2025.0</v>
      </c>
      <c r="E61" s="6">
        <v>30.0</v>
      </c>
      <c r="F61" s="4">
        <v>243.0</v>
      </c>
      <c r="G61" s="6">
        <v>3276.0</v>
      </c>
      <c r="H61" s="16">
        <v>243.0</v>
      </c>
      <c r="I61" s="6">
        <f t="shared" si="1"/>
        <v>3519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</row>
    <row r="62" ht="13.5" customHeight="1">
      <c r="A62" s="4">
        <v>61.0</v>
      </c>
      <c r="B62" s="4" t="s">
        <v>202</v>
      </c>
      <c r="C62" s="4" t="s">
        <v>203</v>
      </c>
      <c r="D62" s="4">
        <v>2025.0</v>
      </c>
      <c r="E62" s="6">
        <v>29.18</v>
      </c>
      <c r="F62" s="4">
        <v>103.0</v>
      </c>
      <c r="G62" s="6">
        <v>1178.0</v>
      </c>
      <c r="H62" s="16">
        <v>103.0</v>
      </c>
      <c r="I62" s="6">
        <f t="shared" si="1"/>
        <v>1281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</row>
    <row r="63" ht="13.5" customHeight="1">
      <c r="A63" s="4">
        <v>62.0</v>
      </c>
      <c r="B63" s="12" t="s">
        <v>204</v>
      </c>
      <c r="C63" s="4" t="s">
        <v>205</v>
      </c>
      <c r="D63" s="4">
        <v>2025.0</v>
      </c>
      <c r="E63" s="6">
        <v>18.67</v>
      </c>
      <c r="F63" s="4">
        <v>262.0</v>
      </c>
      <c r="G63" s="6">
        <v>5516.0</v>
      </c>
      <c r="H63" s="16">
        <v>262.0</v>
      </c>
      <c r="I63" s="6">
        <f t="shared" si="1"/>
        <v>5778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</row>
    <row r="64" ht="13.5" customHeight="1">
      <c r="A64" s="4">
        <v>63.0</v>
      </c>
      <c r="B64" s="12" t="s">
        <v>206</v>
      </c>
      <c r="C64" s="4" t="s">
        <v>105</v>
      </c>
      <c r="D64" s="4">
        <v>2025.0</v>
      </c>
      <c r="E64" s="6">
        <v>24.63</v>
      </c>
      <c r="F64" s="4">
        <v>184.0</v>
      </c>
      <c r="G64" s="6">
        <v>2400.0</v>
      </c>
      <c r="H64" s="16">
        <v>184.0</v>
      </c>
      <c r="I64" s="6">
        <f t="shared" si="1"/>
        <v>2584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</row>
    <row r="65" ht="13.5" customHeight="1">
      <c r="A65" s="4">
        <v>64.0</v>
      </c>
      <c r="B65" s="13" t="s">
        <v>207</v>
      </c>
      <c r="C65" s="4" t="s">
        <v>208</v>
      </c>
      <c r="D65" s="4">
        <v>2025.0</v>
      </c>
      <c r="E65" s="6">
        <v>30.0</v>
      </c>
      <c r="F65" s="4">
        <v>130.0</v>
      </c>
      <c r="G65" s="6">
        <v>994.0</v>
      </c>
      <c r="H65" s="16">
        <v>130.0</v>
      </c>
      <c r="I65" s="6">
        <f t="shared" si="1"/>
        <v>1124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</row>
    <row r="66" ht="13.5" customHeight="1">
      <c r="A66" s="4">
        <v>65.0</v>
      </c>
      <c r="B66" s="13" t="s">
        <v>209</v>
      </c>
      <c r="C66" s="4" t="s">
        <v>210</v>
      </c>
      <c r="D66" s="4">
        <v>2025.0</v>
      </c>
      <c r="E66" s="6">
        <v>18.95</v>
      </c>
      <c r="F66" s="4">
        <v>56.0</v>
      </c>
      <c r="G66" s="6">
        <v>1226.0</v>
      </c>
      <c r="H66" s="16">
        <v>56.0</v>
      </c>
      <c r="I66" s="6">
        <f t="shared" si="1"/>
        <v>1282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</row>
    <row r="67" ht="13.5" customHeight="1">
      <c r="A67" s="4">
        <v>66.0</v>
      </c>
      <c r="B67" s="4" t="s">
        <v>211</v>
      </c>
      <c r="C67" s="4" t="s">
        <v>212</v>
      </c>
      <c r="D67" s="4">
        <v>2025.0</v>
      </c>
      <c r="E67" s="6">
        <v>20.86</v>
      </c>
      <c r="F67" s="4">
        <v>283.0</v>
      </c>
      <c r="G67" s="6">
        <v>4924.0</v>
      </c>
      <c r="H67" s="16">
        <v>283.0</v>
      </c>
      <c r="I67" s="6">
        <f t="shared" si="1"/>
        <v>5207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</row>
    <row r="68" ht="13.5" customHeight="1">
      <c r="A68" s="4">
        <v>67.0</v>
      </c>
      <c r="B68" s="13" t="s">
        <v>213</v>
      </c>
      <c r="C68" s="4" t="s">
        <v>137</v>
      </c>
      <c r="D68" s="4">
        <v>2025.0</v>
      </c>
      <c r="E68" s="6">
        <v>30.0</v>
      </c>
      <c r="F68" s="4">
        <v>468.0</v>
      </c>
      <c r="G68" s="6">
        <v>6379.0</v>
      </c>
      <c r="H68" s="16">
        <v>468.0</v>
      </c>
      <c r="I68" s="6">
        <f t="shared" si="1"/>
        <v>6847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</row>
    <row r="69" ht="13.5" customHeight="1">
      <c r="A69" s="4">
        <v>68.0</v>
      </c>
      <c r="B69" s="4" t="s">
        <v>214</v>
      </c>
      <c r="C69" s="4" t="s">
        <v>103</v>
      </c>
      <c r="D69" s="4">
        <v>2025.0</v>
      </c>
      <c r="E69" s="6">
        <v>28.43</v>
      </c>
      <c r="F69" s="4">
        <v>1092.0</v>
      </c>
      <c r="G69" s="6">
        <v>11520.0</v>
      </c>
      <c r="H69" s="16">
        <v>1092.0</v>
      </c>
      <c r="I69" s="6">
        <f t="shared" si="1"/>
        <v>12612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</row>
    <row r="70" ht="13.5" customHeight="1">
      <c r="A70" s="4">
        <v>69.0</v>
      </c>
      <c r="B70" s="12" t="s">
        <v>215</v>
      </c>
      <c r="C70" s="4" t="s">
        <v>216</v>
      </c>
      <c r="D70" s="4">
        <v>2025.0</v>
      </c>
      <c r="E70" s="6">
        <v>21.47</v>
      </c>
      <c r="F70" s="4">
        <v>77.0</v>
      </c>
      <c r="G70" s="6">
        <v>1080.0</v>
      </c>
      <c r="H70" s="16">
        <v>77.0</v>
      </c>
      <c r="I70" s="6">
        <f t="shared" si="1"/>
        <v>1157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</row>
    <row r="71" ht="13.5" customHeight="1">
      <c r="A71" s="4">
        <v>70.0</v>
      </c>
      <c r="B71" s="4" t="s">
        <v>217</v>
      </c>
      <c r="C71" s="4" t="s">
        <v>210</v>
      </c>
      <c r="D71" s="4">
        <v>2025.0</v>
      </c>
      <c r="E71" s="6">
        <v>26.44</v>
      </c>
      <c r="F71" s="4">
        <v>521.0</v>
      </c>
      <c r="G71" s="6">
        <v>8111.0</v>
      </c>
      <c r="H71" s="16">
        <v>521.0</v>
      </c>
      <c r="I71" s="6">
        <f t="shared" si="1"/>
        <v>8632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</row>
    <row r="72" ht="13.5" customHeight="1">
      <c r="A72" s="4">
        <v>71.0</v>
      </c>
      <c r="B72" s="4" t="s">
        <v>218</v>
      </c>
      <c r="C72" s="4" t="s">
        <v>219</v>
      </c>
      <c r="D72" s="4">
        <v>2025.0</v>
      </c>
      <c r="E72" s="6">
        <v>30.0</v>
      </c>
      <c r="F72" s="4">
        <v>312.0</v>
      </c>
      <c r="G72" s="6">
        <v>4302.0</v>
      </c>
      <c r="H72" s="16">
        <v>312.0</v>
      </c>
      <c r="I72" s="6">
        <f t="shared" si="1"/>
        <v>4614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</row>
    <row r="73" ht="13.5" customHeight="1">
      <c r="A73" s="4">
        <v>72.0</v>
      </c>
      <c r="B73" s="4" t="s">
        <v>220</v>
      </c>
      <c r="C73" s="4" t="s">
        <v>221</v>
      </c>
      <c r="D73" s="4">
        <v>2025.0</v>
      </c>
      <c r="E73" s="6">
        <v>28.75</v>
      </c>
      <c r="F73" s="4">
        <v>77.0</v>
      </c>
      <c r="G73" s="6">
        <v>959.0</v>
      </c>
      <c r="H73" s="16">
        <v>77.0</v>
      </c>
      <c r="I73" s="6">
        <f t="shared" si="1"/>
        <v>1036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</row>
    <row r="74" ht="13.5" customHeight="1">
      <c r="A74" s="4">
        <v>73.0</v>
      </c>
      <c r="B74" s="4" t="s">
        <v>222</v>
      </c>
      <c r="C74" s="4" t="s">
        <v>223</v>
      </c>
      <c r="D74" s="4">
        <v>2025.0</v>
      </c>
      <c r="E74" s="6">
        <v>19.86</v>
      </c>
      <c r="F74" s="4">
        <v>222.0</v>
      </c>
      <c r="G74" s="6">
        <v>3975.0</v>
      </c>
      <c r="H74" s="16">
        <v>222.0</v>
      </c>
      <c r="I74" s="6">
        <f t="shared" si="1"/>
        <v>4197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</row>
    <row r="75" ht="13.5" customHeight="1">
      <c r="A75" s="4">
        <v>74.0</v>
      </c>
      <c r="B75" s="4" t="s">
        <v>224</v>
      </c>
      <c r="C75" s="4" t="s">
        <v>110</v>
      </c>
      <c r="D75" s="4">
        <v>2025.0</v>
      </c>
      <c r="E75" s="6">
        <v>30.0</v>
      </c>
      <c r="F75" s="4">
        <v>59.0</v>
      </c>
      <c r="G75" s="6">
        <v>490.0</v>
      </c>
      <c r="H75" s="16">
        <v>59.0</v>
      </c>
      <c r="I75" s="6">
        <f t="shared" si="1"/>
        <v>549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</row>
    <row r="76" ht="13.5" customHeight="1">
      <c r="A76" s="4">
        <v>75.0</v>
      </c>
      <c r="B76" s="4" t="s">
        <v>225</v>
      </c>
      <c r="C76" s="4" t="s">
        <v>216</v>
      </c>
      <c r="D76" s="4">
        <v>2025.0</v>
      </c>
      <c r="E76" s="6">
        <v>28.93</v>
      </c>
      <c r="F76" s="4">
        <v>398.0</v>
      </c>
      <c r="G76" s="6">
        <v>5445.0</v>
      </c>
      <c r="H76" s="16">
        <v>398.0</v>
      </c>
      <c r="I76" s="6">
        <f t="shared" si="1"/>
        <v>5843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</row>
    <row r="77" ht="13.5" customHeight="1">
      <c r="A77" s="4">
        <v>76.0</v>
      </c>
      <c r="B77" s="4" t="s">
        <v>226</v>
      </c>
      <c r="C77" s="4" t="s">
        <v>216</v>
      </c>
      <c r="D77" s="4">
        <v>2025.0</v>
      </c>
      <c r="E77" s="6">
        <v>28.17</v>
      </c>
      <c r="F77" s="4">
        <v>216.0</v>
      </c>
      <c r="G77" s="6">
        <v>3048.0</v>
      </c>
      <c r="H77" s="16">
        <v>216.0</v>
      </c>
      <c r="I77" s="6">
        <f t="shared" si="1"/>
        <v>3264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</row>
    <row r="78" ht="13.5" customHeight="1">
      <c r="A78" s="4">
        <v>77.0</v>
      </c>
      <c r="B78" s="12" t="s">
        <v>227</v>
      </c>
      <c r="C78" s="4" t="s">
        <v>228</v>
      </c>
      <c r="D78" s="4">
        <v>2025.0</v>
      </c>
      <c r="E78" s="6">
        <v>30.0</v>
      </c>
      <c r="F78" s="4">
        <v>112.0</v>
      </c>
      <c r="G78" s="6">
        <v>1132.0</v>
      </c>
      <c r="H78" s="16">
        <v>112.0</v>
      </c>
      <c r="I78" s="6">
        <f t="shared" si="1"/>
        <v>1244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</row>
    <row r="79" ht="13.5" customHeight="1">
      <c r="A79" s="4">
        <v>78.0</v>
      </c>
      <c r="B79" s="4" t="s">
        <v>229</v>
      </c>
      <c r="C79" s="4" t="s">
        <v>230</v>
      </c>
      <c r="D79" s="4">
        <v>2025.0</v>
      </c>
      <c r="E79" s="6">
        <v>30.0</v>
      </c>
      <c r="F79" s="4">
        <v>118.0</v>
      </c>
      <c r="G79" s="6">
        <v>1284.0</v>
      </c>
      <c r="H79" s="16">
        <v>118.0</v>
      </c>
      <c r="I79" s="6">
        <f t="shared" si="1"/>
        <v>1402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</row>
    <row r="80" ht="13.5" customHeight="1">
      <c r="A80" s="4">
        <v>79.0</v>
      </c>
      <c r="B80" s="12" t="s">
        <v>231</v>
      </c>
      <c r="C80" s="4" t="s">
        <v>232</v>
      </c>
      <c r="D80" s="4">
        <v>2025.0</v>
      </c>
      <c r="E80" s="6">
        <v>30.0</v>
      </c>
      <c r="F80" s="4">
        <v>169.0</v>
      </c>
      <c r="G80" s="6">
        <v>1168.0</v>
      </c>
      <c r="H80" s="16">
        <v>169.0</v>
      </c>
      <c r="I80" s="6">
        <f t="shared" si="1"/>
        <v>1337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</row>
    <row r="81" ht="13.5" customHeight="1">
      <c r="A81" s="4">
        <v>80.0</v>
      </c>
      <c r="B81" s="4" t="s">
        <v>233</v>
      </c>
      <c r="C81" s="4" t="s">
        <v>234</v>
      </c>
      <c r="D81" s="4">
        <v>2025.0</v>
      </c>
      <c r="E81" s="6">
        <v>30.0</v>
      </c>
      <c r="F81" s="4">
        <v>610.0</v>
      </c>
      <c r="G81" s="6">
        <v>8382.0</v>
      </c>
      <c r="H81" s="16">
        <v>610.0</v>
      </c>
      <c r="I81" s="6">
        <f t="shared" si="1"/>
        <v>8992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</row>
    <row r="82" ht="13.5" customHeight="1">
      <c r="A82" s="4">
        <v>81.0</v>
      </c>
      <c r="B82" s="4" t="s">
        <v>235</v>
      </c>
      <c r="C82" s="4" t="s">
        <v>236</v>
      </c>
      <c r="D82" s="4">
        <v>2025.0</v>
      </c>
      <c r="E82" s="6">
        <v>15.66</v>
      </c>
      <c r="F82" s="4">
        <v>263.0</v>
      </c>
      <c r="G82" s="6">
        <v>5330.0</v>
      </c>
      <c r="H82" s="16">
        <v>263.0</v>
      </c>
      <c r="I82" s="6">
        <f t="shared" si="1"/>
        <v>5593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</row>
    <row r="83" ht="13.5" customHeight="1">
      <c r="A83" s="4">
        <v>82.0</v>
      </c>
      <c r="B83" s="12" t="s">
        <v>237</v>
      </c>
      <c r="C83" s="4" t="s">
        <v>238</v>
      </c>
      <c r="D83" s="4">
        <v>2025.0</v>
      </c>
      <c r="E83" s="6">
        <v>19.54</v>
      </c>
      <c r="F83" s="4">
        <v>221.0</v>
      </c>
      <c r="G83" s="6">
        <v>3756.0</v>
      </c>
      <c r="H83" s="16">
        <v>221.0</v>
      </c>
      <c r="I83" s="6">
        <f t="shared" si="1"/>
        <v>3977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</row>
    <row r="84" ht="13.5" customHeight="1">
      <c r="A84" s="4">
        <v>83.0</v>
      </c>
      <c r="B84" s="12" t="s">
        <v>239</v>
      </c>
      <c r="C84" s="4" t="s">
        <v>240</v>
      </c>
      <c r="D84" s="4">
        <v>2025.0</v>
      </c>
      <c r="E84" s="6">
        <v>26.72</v>
      </c>
      <c r="F84" s="4">
        <v>106.0</v>
      </c>
      <c r="G84" s="6">
        <v>915.0</v>
      </c>
      <c r="H84" s="16">
        <v>106.0</v>
      </c>
      <c r="I84" s="6">
        <f t="shared" si="1"/>
        <v>1021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</row>
    <row r="85" ht="13.5" customHeight="1">
      <c r="A85" s="4">
        <v>84.0</v>
      </c>
      <c r="B85" s="12" t="s">
        <v>241</v>
      </c>
      <c r="C85" s="4" t="s">
        <v>216</v>
      </c>
      <c r="D85" s="4">
        <v>2025.0</v>
      </c>
      <c r="E85" s="6">
        <v>28.83</v>
      </c>
      <c r="F85" s="4">
        <v>442.0</v>
      </c>
      <c r="G85" s="6">
        <v>5457.0</v>
      </c>
      <c r="H85" s="16">
        <v>442.0</v>
      </c>
      <c r="I85" s="6">
        <f t="shared" si="1"/>
        <v>5899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</row>
    <row r="86" ht="13.5" customHeight="1">
      <c r="A86" s="4">
        <v>85.0</v>
      </c>
      <c r="B86" s="12" t="s">
        <v>242</v>
      </c>
      <c r="C86" s="4" t="s">
        <v>243</v>
      </c>
      <c r="D86" s="4">
        <v>2025.0</v>
      </c>
      <c r="E86" s="6">
        <v>15.35</v>
      </c>
      <c r="F86" s="4">
        <v>201.0</v>
      </c>
      <c r="G86" s="6">
        <v>5608.0</v>
      </c>
      <c r="H86" s="16">
        <v>201.0</v>
      </c>
      <c r="I86" s="6">
        <f t="shared" si="1"/>
        <v>5809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</row>
    <row r="87" ht="13.5" customHeight="1">
      <c r="A87" s="4">
        <v>86.0</v>
      </c>
      <c r="B87" s="12" t="s">
        <v>244</v>
      </c>
      <c r="C87" s="4" t="s">
        <v>245</v>
      </c>
      <c r="D87" s="4">
        <v>2025.0</v>
      </c>
      <c r="E87" s="6">
        <v>17.54</v>
      </c>
      <c r="F87" s="4">
        <v>272.0</v>
      </c>
      <c r="G87" s="6">
        <v>4874.0</v>
      </c>
      <c r="H87" s="16">
        <v>272.0</v>
      </c>
      <c r="I87" s="6">
        <f t="shared" si="1"/>
        <v>5146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</row>
    <row r="88" ht="13.5" customHeight="1">
      <c r="A88" s="4">
        <v>87.0</v>
      </c>
      <c r="B88" s="12" t="s">
        <v>246</v>
      </c>
      <c r="C88" s="4" t="s">
        <v>103</v>
      </c>
      <c r="D88" s="4">
        <v>2025.0</v>
      </c>
      <c r="E88" s="6">
        <v>28.22</v>
      </c>
      <c r="F88" s="4">
        <v>674.0</v>
      </c>
      <c r="G88" s="6">
        <v>9600.0</v>
      </c>
      <c r="H88" s="16">
        <v>674.0</v>
      </c>
      <c r="I88" s="6">
        <f t="shared" si="1"/>
        <v>10274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</row>
    <row r="89" ht="13.5" customHeight="1">
      <c r="A89" s="4">
        <v>88.0</v>
      </c>
      <c r="B89" s="12" t="s">
        <v>247</v>
      </c>
      <c r="C89" s="4" t="s">
        <v>248</v>
      </c>
      <c r="D89" s="4">
        <v>2025.0</v>
      </c>
      <c r="E89" s="6">
        <v>30.0</v>
      </c>
      <c r="F89" s="4">
        <v>262.0</v>
      </c>
      <c r="G89" s="6">
        <v>3148.0</v>
      </c>
      <c r="H89" s="16">
        <v>262.0</v>
      </c>
      <c r="I89" s="6">
        <f t="shared" si="1"/>
        <v>3410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</row>
    <row r="90" ht="13.5" customHeight="1">
      <c r="A90" s="4">
        <v>89.0</v>
      </c>
      <c r="B90" s="12" t="s">
        <v>249</v>
      </c>
      <c r="C90" s="4" t="s">
        <v>250</v>
      </c>
      <c r="D90" s="4">
        <v>2025.0</v>
      </c>
      <c r="E90" s="6">
        <v>16.96</v>
      </c>
      <c r="F90" s="4">
        <v>519.0</v>
      </c>
      <c r="G90" s="6">
        <v>9985.0</v>
      </c>
      <c r="H90" s="16">
        <v>519.0</v>
      </c>
      <c r="I90" s="6">
        <f t="shared" si="1"/>
        <v>10504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</row>
    <row r="91" ht="13.5" customHeight="1">
      <c r="A91" s="4">
        <v>90.0</v>
      </c>
      <c r="B91" s="12" t="s">
        <v>251</v>
      </c>
      <c r="C91" s="4" t="s">
        <v>176</v>
      </c>
      <c r="D91" s="4">
        <v>2025.0</v>
      </c>
      <c r="E91" s="6">
        <v>18.25</v>
      </c>
      <c r="F91" s="4">
        <v>236.0</v>
      </c>
      <c r="G91" s="6">
        <v>3682.0</v>
      </c>
      <c r="H91" s="16">
        <v>236.0</v>
      </c>
      <c r="I91" s="6">
        <f t="shared" si="1"/>
        <v>3918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</row>
    <row r="92" ht="13.5" customHeight="1">
      <c r="A92" s="4">
        <v>91.0</v>
      </c>
      <c r="B92" s="12" t="s">
        <v>252</v>
      </c>
      <c r="C92" s="4" t="s">
        <v>143</v>
      </c>
      <c r="D92" s="4">
        <v>2025.0</v>
      </c>
      <c r="E92" s="6">
        <v>30.0</v>
      </c>
      <c r="F92" s="4">
        <v>360.0</v>
      </c>
      <c r="G92" s="6">
        <v>5022.0</v>
      </c>
      <c r="H92" s="16">
        <v>360.0</v>
      </c>
      <c r="I92" s="6">
        <f t="shared" si="1"/>
        <v>5382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</row>
    <row r="93" ht="13.5" customHeight="1">
      <c r="A93" s="4">
        <v>92.0</v>
      </c>
      <c r="B93" s="12" t="s">
        <v>253</v>
      </c>
      <c r="C93" s="4" t="s">
        <v>176</v>
      </c>
      <c r="D93" s="4">
        <v>2025.0</v>
      </c>
      <c r="E93" s="6">
        <v>27.38</v>
      </c>
      <c r="F93" s="4">
        <v>63.0</v>
      </c>
      <c r="G93" s="6">
        <v>944.0</v>
      </c>
      <c r="H93" s="16">
        <v>63.0</v>
      </c>
      <c r="I93" s="6">
        <f t="shared" si="1"/>
        <v>1007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</row>
    <row r="94" ht="13.5" customHeight="1">
      <c r="A94" s="4">
        <v>93.0</v>
      </c>
      <c r="B94" s="12" t="s">
        <v>254</v>
      </c>
      <c r="C94" s="4" t="s">
        <v>255</v>
      </c>
      <c r="D94" s="4">
        <v>2025.0</v>
      </c>
      <c r="E94" s="6">
        <v>17.69</v>
      </c>
      <c r="F94" s="4">
        <v>143.0</v>
      </c>
      <c r="G94" s="6">
        <v>3435.0</v>
      </c>
      <c r="H94" s="16">
        <v>143.0</v>
      </c>
      <c r="I94" s="6">
        <f t="shared" si="1"/>
        <v>3578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</row>
    <row r="95" ht="13.5" customHeight="1">
      <c r="A95" s="4">
        <v>94.0</v>
      </c>
      <c r="B95" s="12" t="s">
        <v>256</v>
      </c>
      <c r="C95" s="4" t="s">
        <v>110</v>
      </c>
      <c r="D95" s="4">
        <v>2025.0</v>
      </c>
      <c r="E95" s="6">
        <v>30.0</v>
      </c>
      <c r="F95" s="4">
        <v>501.0</v>
      </c>
      <c r="G95" s="6">
        <v>7362.0</v>
      </c>
      <c r="H95" s="16">
        <v>501.0</v>
      </c>
      <c r="I95" s="6">
        <f t="shared" si="1"/>
        <v>7863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</row>
    <row r="96" ht="13.5" customHeight="1">
      <c r="A96" s="4">
        <v>95.0</v>
      </c>
      <c r="B96" s="12" t="s">
        <v>257</v>
      </c>
      <c r="C96" s="4" t="s">
        <v>135</v>
      </c>
      <c r="D96" s="4">
        <v>2025.0</v>
      </c>
      <c r="E96" s="6">
        <v>30.0</v>
      </c>
      <c r="F96" s="4">
        <v>451.0</v>
      </c>
      <c r="G96" s="6">
        <v>5124.0</v>
      </c>
      <c r="H96" s="16">
        <v>451.0</v>
      </c>
      <c r="I96" s="6">
        <f t="shared" si="1"/>
        <v>5575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</row>
    <row r="97" ht="13.5" customHeight="1">
      <c r="A97" s="4">
        <v>96.0</v>
      </c>
      <c r="B97" s="12" t="s">
        <v>258</v>
      </c>
      <c r="C97" s="4" t="s">
        <v>259</v>
      </c>
      <c r="D97" s="4">
        <v>2025.0</v>
      </c>
      <c r="E97" s="6">
        <v>22.19</v>
      </c>
      <c r="F97" s="4">
        <v>78.0</v>
      </c>
      <c r="G97" s="6">
        <v>1069.0</v>
      </c>
      <c r="H97" s="16">
        <v>78.0</v>
      </c>
      <c r="I97" s="6">
        <f t="shared" si="1"/>
        <v>1147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</row>
    <row r="98" ht="13.5" customHeight="1">
      <c r="A98" s="4">
        <v>97.0</v>
      </c>
      <c r="B98" s="12" t="s">
        <v>260</v>
      </c>
      <c r="C98" s="4" t="s">
        <v>261</v>
      </c>
      <c r="D98" s="4">
        <v>2025.0</v>
      </c>
      <c r="E98" s="6">
        <v>18.24</v>
      </c>
      <c r="F98" s="4">
        <v>237.0</v>
      </c>
      <c r="G98" s="6">
        <v>4487.0</v>
      </c>
      <c r="H98" s="16">
        <v>237.0</v>
      </c>
      <c r="I98" s="6">
        <f t="shared" si="1"/>
        <v>4724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</row>
    <row r="99" ht="13.5" customHeight="1">
      <c r="A99" s="4">
        <v>98.0</v>
      </c>
      <c r="B99" s="12" t="s">
        <v>262</v>
      </c>
      <c r="C99" s="4" t="s">
        <v>263</v>
      </c>
      <c r="D99" s="4">
        <v>2025.0</v>
      </c>
      <c r="E99" s="6">
        <v>19.89</v>
      </c>
      <c r="F99" s="4">
        <v>332.0</v>
      </c>
      <c r="G99" s="6">
        <v>5268.0</v>
      </c>
      <c r="H99" s="16">
        <v>332.0</v>
      </c>
      <c r="I99" s="6">
        <f t="shared" si="1"/>
        <v>5600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</row>
    <row r="100" ht="13.5" customHeight="1">
      <c r="A100" s="4">
        <v>99.0</v>
      </c>
      <c r="B100" s="12" t="s">
        <v>264</v>
      </c>
      <c r="C100" s="4" t="s">
        <v>265</v>
      </c>
      <c r="D100" s="4">
        <v>2025.0</v>
      </c>
      <c r="E100" s="6">
        <v>22.4</v>
      </c>
      <c r="F100" s="4">
        <v>76.0</v>
      </c>
      <c r="G100" s="6">
        <v>1130.0</v>
      </c>
      <c r="H100" s="16">
        <v>76.0</v>
      </c>
      <c r="I100" s="6">
        <f t="shared" si="1"/>
        <v>1206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</row>
    <row r="101" ht="13.5" customHeight="1">
      <c r="A101" s="4">
        <v>100.0</v>
      </c>
      <c r="B101" s="12" t="s">
        <v>266</v>
      </c>
      <c r="C101" s="4" t="s">
        <v>137</v>
      </c>
      <c r="D101" s="4">
        <v>2025.0</v>
      </c>
      <c r="E101" s="6">
        <v>28.9</v>
      </c>
      <c r="F101" s="4">
        <v>404.0</v>
      </c>
      <c r="G101" s="6">
        <v>5523.0</v>
      </c>
      <c r="H101" s="16">
        <v>404.0</v>
      </c>
      <c r="I101" s="6">
        <f t="shared" si="1"/>
        <v>5927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</row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7.43"/>
    <col customWidth="1" min="3" max="3" width="16.29"/>
    <col customWidth="1" min="4" max="4" width="15.0"/>
    <col customWidth="1" min="5" max="5" width="26.43"/>
    <col customWidth="1" min="6" max="6" width="30.43"/>
    <col customWidth="1" min="7" max="8" width="9.86"/>
    <col customWidth="1" min="9" max="9" width="24.57"/>
    <col customWidth="1" min="10" max="10" width="15.43"/>
    <col customWidth="1" min="11" max="26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272</v>
      </c>
      <c r="F1" s="20"/>
      <c r="G1" s="20"/>
      <c r="H1" s="21"/>
      <c r="I1" s="21"/>
      <c r="J1" s="20"/>
    </row>
    <row r="2" ht="13.5" customHeight="1">
      <c r="A2" s="4">
        <v>1.0</v>
      </c>
      <c r="B2" s="4" t="s">
        <v>102</v>
      </c>
      <c r="C2" s="4" t="s">
        <v>103</v>
      </c>
      <c r="D2" s="4">
        <v>2025.0</v>
      </c>
      <c r="E2" s="4"/>
      <c r="F2" s="21"/>
      <c r="G2" s="21"/>
      <c r="H2" s="21"/>
      <c r="I2" s="21"/>
      <c r="J2" s="21"/>
    </row>
    <row r="3" ht="13.5" customHeight="1">
      <c r="A3" s="4">
        <v>2.0</v>
      </c>
      <c r="B3" s="4" t="s">
        <v>102</v>
      </c>
      <c r="C3" s="4" t="s">
        <v>105</v>
      </c>
      <c r="D3" s="4">
        <v>2025.0</v>
      </c>
      <c r="E3" s="4"/>
      <c r="F3" s="21"/>
      <c r="G3" s="21"/>
      <c r="H3" s="21"/>
      <c r="I3" s="21"/>
      <c r="J3" s="21"/>
    </row>
    <row r="4" ht="13.5" customHeight="1">
      <c r="A4" s="4">
        <v>3.0</v>
      </c>
      <c r="B4" s="4" t="s">
        <v>102</v>
      </c>
      <c r="C4" s="4" t="s">
        <v>106</v>
      </c>
      <c r="D4" s="4">
        <v>2025.0</v>
      </c>
      <c r="E4" s="4"/>
      <c r="F4" s="21"/>
      <c r="G4" s="21"/>
      <c r="H4" s="21"/>
      <c r="I4" s="21"/>
      <c r="J4" s="21"/>
    </row>
    <row r="5" ht="13.5" customHeight="1">
      <c r="A5" s="4">
        <v>4.0</v>
      </c>
      <c r="B5" s="4" t="s">
        <v>102</v>
      </c>
      <c r="C5" s="4" t="s">
        <v>107</v>
      </c>
      <c r="D5" s="4">
        <v>2025.0</v>
      </c>
      <c r="E5" s="4"/>
      <c r="F5" s="21"/>
      <c r="G5" s="21"/>
      <c r="H5" s="21"/>
      <c r="I5" s="21"/>
      <c r="J5" s="21"/>
    </row>
    <row r="6" ht="13.5" customHeight="1">
      <c r="A6" s="4">
        <v>5.0</v>
      </c>
      <c r="B6" s="4" t="s">
        <v>102</v>
      </c>
      <c r="C6" s="4" t="s">
        <v>108</v>
      </c>
      <c r="D6" s="4">
        <v>2025.0</v>
      </c>
      <c r="E6" s="4"/>
      <c r="F6" s="21"/>
      <c r="G6" s="21"/>
      <c r="H6" s="21"/>
      <c r="I6" s="21"/>
      <c r="J6" s="21"/>
    </row>
    <row r="7" ht="13.5" customHeight="1">
      <c r="A7" s="4">
        <v>6.0</v>
      </c>
      <c r="B7" s="4" t="s">
        <v>102</v>
      </c>
      <c r="C7" s="4" t="s">
        <v>109</v>
      </c>
      <c r="D7" s="4">
        <v>2025.0</v>
      </c>
      <c r="E7" s="4"/>
      <c r="F7" s="20"/>
      <c r="G7" s="21"/>
      <c r="H7" s="21"/>
      <c r="I7" s="21"/>
      <c r="J7" s="21"/>
    </row>
    <row r="8" ht="13.5" customHeight="1">
      <c r="A8" s="4">
        <v>7.0</v>
      </c>
      <c r="B8" s="4" t="s">
        <v>102</v>
      </c>
      <c r="C8" s="4" t="s">
        <v>110</v>
      </c>
      <c r="D8" s="4">
        <v>2025.0</v>
      </c>
      <c r="E8" s="4"/>
      <c r="F8" s="20"/>
      <c r="G8" s="21"/>
      <c r="H8" s="21"/>
      <c r="I8" s="21"/>
      <c r="J8" s="21"/>
    </row>
    <row r="9" ht="13.5" customHeight="1">
      <c r="A9" s="4">
        <v>8.0</v>
      </c>
      <c r="B9" s="4" t="s">
        <v>102</v>
      </c>
      <c r="C9" s="4" t="s">
        <v>111</v>
      </c>
      <c r="D9" s="4">
        <v>2025.0</v>
      </c>
      <c r="E9" s="4"/>
      <c r="F9" s="21"/>
      <c r="G9" s="21"/>
      <c r="H9" s="21"/>
      <c r="I9" s="21"/>
      <c r="J9" s="21"/>
    </row>
    <row r="10" ht="13.5" customHeight="1">
      <c r="A10" s="4">
        <v>9.0</v>
      </c>
      <c r="B10" s="4" t="s">
        <v>112</v>
      </c>
      <c r="C10" s="4" t="s">
        <v>113</v>
      </c>
      <c r="D10" s="4">
        <v>2025.0</v>
      </c>
      <c r="E10" s="4"/>
      <c r="F10" s="22"/>
      <c r="G10" s="21"/>
      <c r="H10" s="21"/>
      <c r="I10" s="22"/>
      <c r="J10" s="21"/>
    </row>
    <row r="11" ht="13.5" customHeight="1">
      <c r="A11" s="4">
        <v>10.0</v>
      </c>
      <c r="B11" s="4" t="s">
        <v>114</v>
      </c>
      <c r="C11" s="4" t="s">
        <v>115</v>
      </c>
      <c r="D11" s="4">
        <v>2025.0</v>
      </c>
      <c r="E11" s="4"/>
      <c r="F11" s="20"/>
      <c r="G11" s="21"/>
      <c r="H11" s="21"/>
      <c r="I11" s="20"/>
      <c r="J11" s="21"/>
    </row>
    <row r="12" ht="13.5" customHeight="1">
      <c r="A12" s="4">
        <v>11.0</v>
      </c>
      <c r="B12" s="4" t="s">
        <v>116</v>
      </c>
      <c r="C12" s="4" t="s">
        <v>117</v>
      </c>
      <c r="D12" s="4">
        <v>2025.0</v>
      </c>
      <c r="E12" s="4"/>
      <c r="F12" s="20"/>
      <c r="G12" s="21"/>
      <c r="H12" s="21"/>
      <c r="I12" s="20"/>
      <c r="J12" s="21"/>
    </row>
    <row r="13" ht="13.5" customHeight="1">
      <c r="A13" s="4">
        <v>12.0</v>
      </c>
      <c r="B13" s="4" t="s">
        <v>102</v>
      </c>
      <c r="C13" s="4" t="s">
        <v>119</v>
      </c>
      <c r="D13" s="4">
        <v>2025.0</v>
      </c>
      <c r="E13" s="4"/>
      <c r="F13" s="21"/>
      <c r="G13" s="21"/>
      <c r="H13" s="21"/>
      <c r="I13" s="21"/>
      <c r="J13" s="21"/>
    </row>
    <row r="14" ht="13.5" customHeight="1">
      <c r="A14" s="4">
        <v>13.0</v>
      </c>
      <c r="B14" s="4" t="s">
        <v>112</v>
      </c>
      <c r="C14" s="4" t="s">
        <v>120</v>
      </c>
      <c r="D14" s="4">
        <v>2025.0</v>
      </c>
      <c r="E14" s="4"/>
      <c r="F14" s="22"/>
      <c r="G14" s="21"/>
      <c r="H14" s="21"/>
      <c r="I14" s="22"/>
      <c r="J14" s="21"/>
    </row>
    <row r="15" ht="13.5" customHeight="1">
      <c r="A15" s="4">
        <v>14.0</v>
      </c>
      <c r="B15" s="4" t="s">
        <v>121</v>
      </c>
      <c r="C15" s="4" t="s">
        <v>103</v>
      </c>
      <c r="D15" s="4">
        <v>2025.0</v>
      </c>
      <c r="E15" s="4"/>
      <c r="F15" s="21"/>
      <c r="G15" s="21"/>
      <c r="H15" s="21"/>
      <c r="I15" s="21"/>
      <c r="J15" s="21"/>
    </row>
    <row r="16" ht="13.5" customHeight="1">
      <c r="A16" s="4">
        <v>15.0</v>
      </c>
      <c r="B16" s="4" t="s">
        <v>122</v>
      </c>
      <c r="C16" s="4" t="s">
        <v>123</v>
      </c>
      <c r="D16" s="4">
        <v>2025.0</v>
      </c>
      <c r="E16" s="4"/>
      <c r="F16" s="21"/>
      <c r="G16" s="21"/>
      <c r="H16" s="21"/>
      <c r="I16" s="21"/>
      <c r="J16" s="21"/>
    </row>
    <row r="17" ht="13.5" customHeight="1">
      <c r="A17" s="4">
        <v>16.0</v>
      </c>
      <c r="B17" s="4" t="s">
        <v>124</v>
      </c>
      <c r="C17" s="4" t="s">
        <v>125</v>
      </c>
      <c r="D17" s="4">
        <v>2025.0</v>
      </c>
      <c r="E17" s="4"/>
      <c r="F17" s="21"/>
      <c r="G17" s="21"/>
      <c r="H17" s="21"/>
      <c r="I17" s="21"/>
      <c r="J17" s="21"/>
    </row>
    <row r="18" ht="13.5" customHeight="1">
      <c r="A18" s="4">
        <v>17.0</v>
      </c>
      <c r="B18" s="4" t="s">
        <v>126</v>
      </c>
      <c r="C18" s="4" t="s">
        <v>127</v>
      </c>
      <c r="D18" s="4">
        <v>2025.0</v>
      </c>
      <c r="E18" s="4"/>
      <c r="F18" s="21"/>
      <c r="G18" s="21"/>
      <c r="H18" s="21"/>
      <c r="I18" s="23"/>
      <c r="J18" s="21"/>
    </row>
    <row r="19" ht="13.5" customHeight="1">
      <c r="A19" s="4">
        <v>18.0</v>
      </c>
      <c r="B19" s="4" t="s">
        <v>128</v>
      </c>
      <c r="C19" s="4" t="s">
        <v>129</v>
      </c>
      <c r="D19" s="4">
        <v>2025.0</v>
      </c>
      <c r="E19" s="4"/>
      <c r="F19" s="21"/>
      <c r="G19" s="21"/>
      <c r="H19" s="21"/>
      <c r="I19" s="21"/>
      <c r="J19" s="21"/>
    </row>
    <row r="20" ht="13.5" customHeight="1">
      <c r="A20" s="4">
        <v>19.0</v>
      </c>
      <c r="B20" s="4" t="s">
        <v>102</v>
      </c>
      <c r="C20" s="4" t="s">
        <v>130</v>
      </c>
      <c r="D20" s="4">
        <v>2025.0</v>
      </c>
      <c r="E20" s="4"/>
      <c r="F20" s="21"/>
      <c r="G20" s="21"/>
      <c r="H20" s="21"/>
      <c r="I20" s="21"/>
      <c r="J20" s="21"/>
    </row>
    <row r="21" ht="13.5" customHeight="1">
      <c r="A21" s="4">
        <v>20.0</v>
      </c>
      <c r="B21" s="4" t="s">
        <v>131</v>
      </c>
      <c r="C21" s="4" t="s">
        <v>103</v>
      </c>
      <c r="D21" s="4">
        <v>2025.0</v>
      </c>
      <c r="E21" s="4"/>
      <c r="F21" s="21"/>
      <c r="G21" s="21"/>
      <c r="H21" s="21"/>
      <c r="I21" s="21"/>
      <c r="J21" s="21"/>
    </row>
    <row r="22" ht="13.5" customHeight="1">
      <c r="A22" s="4">
        <v>21.0</v>
      </c>
      <c r="B22" s="4" t="s">
        <v>132</v>
      </c>
      <c r="C22" s="4" t="s">
        <v>133</v>
      </c>
      <c r="D22" s="4">
        <v>2025.0</v>
      </c>
      <c r="E22" s="4"/>
      <c r="F22" s="23"/>
      <c r="G22" s="21"/>
      <c r="H22" s="21"/>
      <c r="I22" s="21"/>
      <c r="J22" s="21"/>
    </row>
    <row r="23" ht="13.5" customHeight="1">
      <c r="A23" s="4">
        <v>22.0</v>
      </c>
      <c r="B23" s="4" t="s">
        <v>134</v>
      </c>
      <c r="C23" s="4" t="s">
        <v>135</v>
      </c>
      <c r="D23" s="4">
        <v>2025.0</v>
      </c>
      <c r="E23" s="4"/>
      <c r="F23" s="21"/>
      <c r="G23" s="21"/>
      <c r="H23" s="21"/>
      <c r="I23" s="21"/>
      <c r="J23" s="21"/>
    </row>
    <row r="24" ht="13.5" customHeight="1">
      <c r="A24" s="4">
        <v>23.0</v>
      </c>
      <c r="B24" s="4" t="s">
        <v>136</v>
      </c>
      <c r="C24" s="4" t="s">
        <v>137</v>
      </c>
      <c r="D24" s="4">
        <v>2025.0</v>
      </c>
      <c r="E24" s="4"/>
      <c r="F24" s="21"/>
      <c r="G24" s="21"/>
      <c r="H24" s="21"/>
      <c r="I24" s="23"/>
      <c r="J24" s="21"/>
    </row>
    <row r="25" ht="13.5" customHeight="1">
      <c r="A25" s="4">
        <v>24.0</v>
      </c>
      <c r="B25" s="4" t="s">
        <v>138</v>
      </c>
      <c r="C25" s="4" t="s">
        <v>105</v>
      </c>
      <c r="D25" s="4">
        <v>2025.0</v>
      </c>
      <c r="E25" s="4"/>
      <c r="F25" s="21"/>
      <c r="G25" s="21"/>
      <c r="H25" s="21"/>
      <c r="I25" s="21"/>
      <c r="J25" s="21"/>
    </row>
    <row r="26" ht="13.5" customHeight="1">
      <c r="A26" s="4">
        <v>25.0</v>
      </c>
      <c r="B26" s="4" t="s">
        <v>102</v>
      </c>
      <c r="C26" s="4" t="s">
        <v>140</v>
      </c>
      <c r="D26" s="4">
        <v>2025.0</v>
      </c>
      <c r="E26" s="4"/>
      <c r="F26" s="21"/>
      <c r="G26" s="21"/>
      <c r="H26" s="21"/>
      <c r="I26" s="21"/>
      <c r="J26" s="21"/>
    </row>
    <row r="27" ht="13.5" customHeight="1">
      <c r="A27" s="4">
        <v>26.0</v>
      </c>
      <c r="B27" s="4" t="s">
        <v>102</v>
      </c>
      <c r="C27" s="4" t="s">
        <v>141</v>
      </c>
      <c r="D27" s="4">
        <v>2025.0</v>
      </c>
      <c r="E27" s="4"/>
      <c r="F27" s="22"/>
      <c r="G27" s="21"/>
      <c r="H27" s="21"/>
      <c r="I27" s="22"/>
      <c r="J27" s="21"/>
    </row>
    <row r="28" ht="13.5" customHeight="1">
      <c r="A28" s="4">
        <v>27.0</v>
      </c>
      <c r="B28" s="4" t="s">
        <v>102</v>
      </c>
      <c r="C28" s="4" t="s">
        <v>142</v>
      </c>
      <c r="D28" s="4">
        <v>2025.0</v>
      </c>
      <c r="E28" s="4"/>
      <c r="F28" s="21"/>
      <c r="G28" s="21"/>
      <c r="H28" s="21"/>
      <c r="I28" s="21"/>
      <c r="J28" s="21"/>
    </row>
    <row r="29" ht="13.5" customHeight="1">
      <c r="A29" s="4">
        <v>28.0</v>
      </c>
      <c r="B29" s="4" t="s">
        <v>112</v>
      </c>
      <c r="C29" s="4" t="s">
        <v>143</v>
      </c>
      <c r="D29" s="4">
        <v>2025.0</v>
      </c>
      <c r="E29" s="4"/>
      <c r="F29" s="21"/>
      <c r="G29" s="21"/>
      <c r="H29" s="21"/>
      <c r="I29" s="21"/>
      <c r="J29" s="21"/>
    </row>
    <row r="30" ht="13.5" customHeight="1">
      <c r="A30" s="4">
        <v>29.0</v>
      </c>
      <c r="B30" s="4" t="s">
        <v>144</v>
      </c>
      <c r="C30" s="4" t="s">
        <v>145</v>
      </c>
      <c r="D30" s="4">
        <v>2025.0</v>
      </c>
      <c r="E30" s="4"/>
      <c r="F30" s="21"/>
      <c r="G30" s="21"/>
      <c r="H30" s="21"/>
      <c r="I30" s="21"/>
      <c r="J30" s="21"/>
    </row>
    <row r="31" ht="13.5" customHeight="1">
      <c r="A31" s="4">
        <v>30.0</v>
      </c>
      <c r="B31" s="4" t="s">
        <v>147</v>
      </c>
      <c r="C31" s="4" t="s">
        <v>105</v>
      </c>
      <c r="D31" s="4">
        <v>2025.0</v>
      </c>
      <c r="E31" s="4"/>
      <c r="F31" s="21"/>
      <c r="G31" s="21"/>
      <c r="H31" s="21"/>
      <c r="I31" s="21"/>
      <c r="J31" s="21"/>
    </row>
    <row r="32" ht="13.5" customHeight="1">
      <c r="A32" s="4">
        <v>31.0</v>
      </c>
      <c r="B32" s="9" t="s">
        <v>148</v>
      </c>
      <c r="C32" s="9" t="s">
        <v>149</v>
      </c>
      <c r="D32" s="9">
        <v>2025.0</v>
      </c>
      <c r="E32" s="4"/>
      <c r="F32" s="21"/>
      <c r="G32" s="21"/>
      <c r="H32" s="21"/>
      <c r="I32" s="21"/>
      <c r="J32" s="21"/>
    </row>
    <row r="33" ht="13.5" customHeight="1">
      <c r="A33" s="4">
        <v>32.0</v>
      </c>
      <c r="B33" s="4" t="s">
        <v>150</v>
      </c>
      <c r="C33" s="4" t="s">
        <v>151</v>
      </c>
      <c r="D33" s="4">
        <v>2025.0</v>
      </c>
      <c r="E33" s="4"/>
      <c r="F33" s="21"/>
      <c r="G33" s="21"/>
      <c r="H33" s="21"/>
      <c r="I33" s="21"/>
      <c r="J33" s="21"/>
    </row>
    <row r="34" ht="13.5" customHeight="1">
      <c r="A34" s="4">
        <v>33.0</v>
      </c>
      <c r="B34" s="4" t="s">
        <v>152</v>
      </c>
      <c r="C34" s="4" t="s">
        <v>153</v>
      </c>
      <c r="D34" s="4">
        <v>2025.0</v>
      </c>
      <c r="E34" s="4"/>
      <c r="F34" s="21"/>
      <c r="G34" s="21"/>
      <c r="H34" s="21"/>
      <c r="I34" s="21"/>
      <c r="J34" s="21"/>
    </row>
    <row r="35" ht="13.5" customHeight="1">
      <c r="A35" s="4">
        <v>34.0</v>
      </c>
      <c r="B35" s="4" t="s">
        <v>154</v>
      </c>
      <c r="C35" s="4" t="s">
        <v>155</v>
      </c>
      <c r="D35" s="4">
        <v>2025.0</v>
      </c>
      <c r="E35" s="4"/>
      <c r="F35" s="21"/>
      <c r="G35" s="21"/>
      <c r="H35" s="21"/>
      <c r="I35" s="21"/>
      <c r="J35" s="21"/>
    </row>
    <row r="36" ht="13.5" customHeight="1">
      <c r="A36" s="4">
        <v>35.0</v>
      </c>
      <c r="B36" s="4" t="s">
        <v>156</v>
      </c>
      <c r="C36" s="4" t="s">
        <v>157</v>
      </c>
      <c r="D36" s="4">
        <v>2025.0</v>
      </c>
      <c r="E36" s="4"/>
      <c r="F36" s="21"/>
      <c r="G36" s="21"/>
      <c r="H36" s="21"/>
      <c r="I36" s="21"/>
      <c r="J36" s="21"/>
    </row>
    <row r="37" ht="13.5" customHeight="1">
      <c r="A37" s="4">
        <v>36.0</v>
      </c>
      <c r="B37" s="4" t="s">
        <v>158</v>
      </c>
      <c r="C37" s="4" t="s">
        <v>135</v>
      </c>
      <c r="D37" s="4">
        <v>2025.0</v>
      </c>
      <c r="E37" s="4"/>
      <c r="F37" s="23"/>
      <c r="G37" s="21"/>
      <c r="H37" s="21"/>
      <c r="I37" s="23"/>
      <c r="J37" s="21"/>
    </row>
    <row r="38" ht="13.5" customHeight="1">
      <c r="A38" s="4">
        <v>37.0</v>
      </c>
      <c r="B38" s="4" t="s">
        <v>159</v>
      </c>
      <c r="C38" s="4" t="s">
        <v>160</v>
      </c>
      <c r="D38" s="4">
        <v>2025.0</v>
      </c>
      <c r="E38" s="4"/>
      <c r="F38" s="21"/>
      <c r="G38" s="21"/>
      <c r="H38" s="21"/>
      <c r="I38" s="21"/>
      <c r="J38" s="21"/>
    </row>
    <row r="39" ht="13.5" customHeight="1">
      <c r="A39" s="4">
        <v>38.0</v>
      </c>
      <c r="B39" s="4" t="s">
        <v>161</v>
      </c>
      <c r="C39" s="4" t="s">
        <v>110</v>
      </c>
      <c r="D39" s="4">
        <v>2025.0</v>
      </c>
      <c r="E39" s="4"/>
    </row>
    <row r="40" ht="13.5" customHeight="1">
      <c r="A40" s="4">
        <v>39.0</v>
      </c>
      <c r="B40" s="4" t="s">
        <v>163</v>
      </c>
      <c r="C40" s="4" t="s">
        <v>164</v>
      </c>
      <c r="D40" s="4">
        <v>2025.0</v>
      </c>
      <c r="E40" s="4"/>
    </row>
    <row r="41" ht="13.5" customHeight="1">
      <c r="A41" s="4">
        <v>40.0</v>
      </c>
      <c r="B41" s="4" t="s">
        <v>165</v>
      </c>
      <c r="C41" s="4" t="s">
        <v>166</v>
      </c>
      <c r="D41" s="4">
        <v>2025.0</v>
      </c>
      <c r="E41" s="4"/>
    </row>
    <row r="42" ht="13.5" customHeight="1">
      <c r="A42" s="4">
        <v>41.0</v>
      </c>
      <c r="B42" s="4" t="s">
        <v>167</v>
      </c>
      <c r="C42" s="4" t="s">
        <v>106</v>
      </c>
      <c r="D42" s="4">
        <v>2025.0</v>
      </c>
      <c r="E42" s="4"/>
    </row>
    <row r="43" ht="13.5" customHeight="1">
      <c r="A43" s="4">
        <v>42.0</v>
      </c>
      <c r="B43" s="4" t="s">
        <v>168</v>
      </c>
      <c r="C43" s="4" t="s">
        <v>169</v>
      </c>
      <c r="D43" s="4">
        <v>2025.0</v>
      </c>
      <c r="E43" s="4"/>
    </row>
    <row r="44" ht="13.5" customHeight="1">
      <c r="A44" s="4">
        <v>43.0</v>
      </c>
      <c r="B44" s="4" t="s">
        <v>170</v>
      </c>
      <c r="C44" s="4" t="s">
        <v>171</v>
      </c>
      <c r="D44" s="4">
        <v>2025.0</v>
      </c>
      <c r="E44" s="4"/>
    </row>
    <row r="45" ht="13.5" customHeight="1">
      <c r="A45" s="4">
        <v>44.0</v>
      </c>
      <c r="B45" s="4" t="s">
        <v>172</v>
      </c>
      <c r="C45" s="4" t="s">
        <v>173</v>
      </c>
      <c r="D45" s="4">
        <v>2025.0</v>
      </c>
      <c r="E45" s="4"/>
    </row>
    <row r="46" ht="13.5" customHeight="1">
      <c r="A46" s="4">
        <v>45.0</v>
      </c>
      <c r="B46" s="11" t="s">
        <v>174</v>
      </c>
      <c r="C46" s="4" t="s">
        <v>103</v>
      </c>
      <c r="D46" s="4">
        <v>2025.0</v>
      </c>
      <c r="E46" s="4"/>
    </row>
    <row r="47" ht="13.5" customHeight="1">
      <c r="A47" s="4">
        <v>46.0</v>
      </c>
      <c r="B47" s="4" t="s">
        <v>175</v>
      </c>
      <c r="C47" s="4" t="s">
        <v>176</v>
      </c>
      <c r="D47" s="4">
        <v>2025.0</v>
      </c>
      <c r="E47" s="4"/>
    </row>
    <row r="48" ht="13.5" customHeight="1">
      <c r="A48" s="4">
        <v>47.0</v>
      </c>
      <c r="B48" s="12" t="s">
        <v>177</v>
      </c>
      <c r="C48" s="4" t="s">
        <v>178</v>
      </c>
      <c r="D48" s="4">
        <v>2025.0</v>
      </c>
      <c r="E48" s="4"/>
    </row>
    <row r="49" ht="13.5" customHeight="1">
      <c r="A49" s="4">
        <v>48.0</v>
      </c>
      <c r="B49" s="4" t="s">
        <v>179</v>
      </c>
      <c r="C49" s="4" t="s">
        <v>180</v>
      </c>
      <c r="D49" s="4">
        <v>2025.0</v>
      </c>
      <c r="E49" s="4"/>
    </row>
    <row r="50" ht="13.5" customHeight="1">
      <c r="A50" s="4">
        <v>49.0</v>
      </c>
      <c r="B50" s="4" t="s">
        <v>181</v>
      </c>
      <c r="C50" s="4" t="s">
        <v>182</v>
      </c>
      <c r="D50" s="4">
        <v>2025.0</v>
      </c>
      <c r="E50" s="4"/>
    </row>
    <row r="51" ht="13.5" customHeight="1">
      <c r="A51" s="4">
        <v>50.0</v>
      </c>
      <c r="B51" s="4" t="s">
        <v>183</v>
      </c>
      <c r="C51" s="4" t="s">
        <v>184</v>
      </c>
      <c r="D51" s="4">
        <v>2025.0</v>
      </c>
      <c r="E51" s="4"/>
    </row>
    <row r="52" ht="13.5" customHeight="1">
      <c r="A52" s="4">
        <v>51.0</v>
      </c>
      <c r="B52" s="4" t="s">
        <v>185</v>
      </c>
      <c r="C52" s="4" t="s">
        <v>186</v>
      </c>
      <c r="D52" s="4">
        <v>2025.0</v>
      </c>
      <c r="E52" s="4"/>
    </row>
    <row r="53" ht="13.5" customHeight="1">
      <c r="A53" s="4">
        <v>52.0</v>
      </c>
      <c r="B53" s="4" t="s">
        <v>187</v>
      </c>
      <c r="C53" s="4" t="s">
        <v>171</v>
      </c>
      <c r="D53" s="4">
        <v>2025.0</v>
      </c>
      <c r="E53" s="4"/>
    </row>
    <row r="54" ht="13.5" customHeight="1">
      <c r="A54" s="4">
        <v>53.0</v>
      </c>
      <c r="B54" s="4" t="s">
        <v>188</v>
      </c>
      <c r="C54" s="4" t="s">
        <v>130</v>
      </c>
      <c r="D54" s="4">
        <v>2025.0</v>
      </c>
      <c r="E54" s="4"/>
    </row>
    <row r="55" ht="13.5" customHeight="1">
      <c r="A55" s="4">
        <v>54.0</v>
      </c>
      <c r="B55" s="4" t="s">
        <v>189</v>
      </c>
      <c r="C55" s="4" t="s">
        <v>190</v>
      </c>
      <c r="D55" s="4">
        <v>2025.0</v>
      </c>
      <c r="E55" s="4"/>
    </row>
    <row r="56" ht="13.5" customHeight="1">
      <c r="A56" s="4">
        <v>55.0</v>
      </c>
      <c r="B56" s="4" t="s">
        <v>191</v>
      </c>
      <c r="C56" s="4" t="s">
        <v>192</v>
      </c>
      <c r="D56" s="4">
        <v>2025.0</v>
      </c>
      <c r="E56" s="4"/>
    </row>
    <row r="57" ht="13.5" customHeight="1">
      <c r="A57" s="4">
        <v>56.0</v>
      </c>
      <c r="B57" s="4" t="s">
        <v>193</v>
      </c>
      <c r="C57" s="4" t="s">
        <v>194</v>
      </c>
      <c r="D57" s="4">
        <v>2025.0</v>
      </c>
      <c r="E57" s="4"/>
    </row>
    <row r="58" ht="13.5" customHeight="1">
      <c r="A58" s="4">
        <v>57.0</v>
      </c>
      <c r="B58" s="4" t="s">
        <v>195</v>
      </c>
      <c r="C58" s="4" t="s">
        <v>196</v>
      </c>
      <c r="D58" s="4">
        <v>2025.0</v>
      </c>
      <c r="E58" s="4"/>
    </row>
    <row r="59" ht="13.5" customHeight="1">
      <c r="A59" s="4">
        <v>58.0</v>
      </c>
      <c r="B59" s="4" t="s">
        <v>197</v>
      </c>
      <c r="C59" s="4" t="s">
        <v>169</v>
      </c>
      <c r="D59" s="4">
        <v>2025.0</v>
      </c>
      <c r="E59" s="4"/>
    </row>
    <row r="60" ht="13.5" customHeight="1">
      <c r="A60" s="4">
        <v>59.0</v>
      </c>
      <c r="B60" s="4" t="s">
        <v>198</v>
      </c>
      <c r="C60" s="4" t="s">
        <v>199</v>
      </c>
      <c r="D60" s="4">
        <v>2025.0</v>
      </c>
      <c r="E60" s="4"/>
    </row>
    <row r="61" ht="13.5" customHeight="1">
      <c r="A61" s="4">
        <v>60.0</v>
      </c>
      <c r="B61" s="4" t="s">
        <v>200</v>
      </c>
      <c r="C61" s="4" t="s">
        <v>201</v>
      </c>
      <c r="D61" s="4">
        <v>2025.0</v>
      </c>
      <c r="E61" s="4"/>
    </row>
    <row r="62" ht="13.5" customHeight="1">
      <c r="A62" s="4">
        <v>61.0</v>
      </c>
      <c r="B62" s="4" t="s">
        <v>202</v>
      </c>
      <c r="C62" s="4" t="s">
        <v>203</v>
      </c>
      <c r="D62" s="4">
        <v>2025.0</v>
      </c>
      <c r="E62" s="4"/>
    </row>
    <row r="63" ht="13.5" customHeight="1">
      <c r="A63" s="4">
        <v>62.0</v>
      </c>
      <c r="B63" s="12" t="s">
        <v>204</v>
      </c>
      <c r="C63" s="4" t="s">
        <v>205</v>
      </c>
      <c r="D63" s="4">
        <v>2025.0</v>
      </c>
      <c r="E63" s="4"/>
    </row>
    <row r="64" ht="13.5" customHeight="1">
      <c r="A64" s="4">
        <v>63.0</v>
      </c>
      <c r="B64" s="12" t="s">
        <v>206</v>
      </c>
      <c r="C64" s="4" t="s">
        <v>105</v>
      </c>
      <c r="D64" s="4">
        <v>2025.0</v>
      </c>
      <c r="E64" s="4"/>
    </row>
    <row r="65" ht="13.5" customHeight="1">
      <c r="A65" s="4">
        <v>64.0</v>
      </c>
      <c r="B65" s="13" t="s">
        <v>207</v>
      </c>
      <c r="C65" s="4" t="s">
        <v>208</v>
      </c>
      <c r="D65" s="4">
        <v>2025.0</v>
      </c>
      <c r="E65" s="4"/>
    </row>
    <row r="66" ht="13.5" customHeight="1">
      <c r="A66" s="4">
        <v>65.0</v>
      </c>
      <c r="B66" s="13" t="s">
        <v>209</v>
      </c>
      <c r="C66" s="4" t="s">
        <v>210</v>
      </c>
      <c r="D66" s="4">
        <v>2025.0</v>
      </c>
      <c r="E66" s="4"/>
    </row>
    <row r="67" ht="13.5" customHeight="1">
      <c r="A67" s="4">
        <v>66.0</v>
      </c>
      <c r="B67" s="4" t="s">
        <v>211</v>
      </c>
      <c r="C67" s="4" t="s">
        <v>212</v>
      </c>
      <c r="D67" s="4">
        <v>2025.0</v>
      </c>
      <c r="E67" s="4"/>
    </row>
    <row r="68" ht="13.5" customHeight="1">
      <c r="A68" s="4">
        <v>67.0</v>
      </c>
      <c r="B68" s="13" t="s">
        <v>213</v>
      </c>
      <c r="C68" s="4" t="s">
        <v>137</v>
      </c>
      <c r="D68" s="4">
        <v>2025.0</v>
      </c>
      <c r="E68" s="4"/>
    </row>
    <row r="69" ht="13.5" customHeight="1">
      <c r="A69" s="4">
        <v>68.0</v>
      </c>
      <c r="B69" s="4" t="s">
        <v>214</v>
      </c>
      <c r="C69" s="4" t="s">
        <v>103</v>
      </c>
      <c r="D69" s="4">
        <v>2025.0</v>
      </c>
      <c r="E69" s="4"/>
    </row>
    <row r="70" ht="13.5" customHeight="1">
      <c r="A70" s="4">
        <v>69.0</v>
      </c>
      <c r="B70" s="12" t="s">
        <v>215</v>
      </c>
      <c r="C70" s="4" t="s">
        <v>216</v>
      </c>
      <c r="D70" s="4">
        <v>2025.0</v>
      </c>
      <c r="E70" s="4"/>
    </row>
    <row r="71" ht="13.5" customHeight="1">
      <c r="A71" s="4">
        <v>70.0</v>
      </c>
      <c r="B71" s="4" t="s">
        <v>217</v>
      </c>
      <c r="C71" s="4" t="s">
        <v>210</v>
      </c>
      <c r="D71" s="4">
        <v>2025.0</v>
      </c>
      <c r="E71" s="4"/>
    </row>
    <row r="72" ht="13.5" customHeight="1">
      <c r="A72" s="4">
        <v>71.0</v>
      </c>
      <c r="B72" s="4" t="s">
        <v>218</v>
      </c>
      <c r="C72" s="4" t="s">
        <v>219</v>
      </c>
      <c r="D72" s="4">
        <v>2025.0</v>
      </c>
      <c r="E72" s="4"/>
    </row>
    <row r="73" ht="13.5" customHeight="1">
      <c r="A73" s="4">
        <v>72.0</v>
      </c>
      <c r="B73" s="4" t="s">
        <v>220</v>
      </c>
      <c r="C73" s="4" t="s">
        <v>221</v>
      </c>
      <c r="D73" s="4">
        <v>2025.0</v>
      </c>
      <c r="E73" s="4"/>
    </row>
    <row r="74" ht="13.5" customHeight="1">
      <c r="A74" s="4">
        <v>73.0</v>
      </c>
      <c r="B74" s="4" t="s">
        <v>222</v>
      </c>
      <c r="C74" s="4" t="s">
        <v>223</v>
      </c>
      <c r="D74" s="4">
        <v>2025.0</v>
      </c>
      <c r="E74" s="4"/>
    </row>
    <row r="75" ht="13.5" customHeight="1">
      <c r="A75" s="4">
        <v>74.0</v>
      </c>
      <c r="B75" s="4" t="s">
        <v>224</v>
      </c>
      <c r="C75" s="4" t="s">
        <v>110</v>
      </c>
      <c r="D75" s="4">
        <v>2025.0</v>
      </c>
      <c r="E75" s="4"/>
    </row>
    <row r="76" ht="13.5" customHeight="1">
      <c r="A76" s="4">
        <v>75.0</v>
      </c>
      <c r="B76" s="4" t="s">
        <v>225</v>
      </c>
      <c r="C76" s="4" t="s">
        <v>216</v>
      </c>
      <c r="D76" s="4">
        <v>2025.0</v>
      </c>
      <c r="E76" s="4"/>
    </row>
    <row r="77" ht="13.5" customHeight="1">
      <c r="A77" s="4">
        <v>76.0</v>
      </c>
      <c r="B77" s="4" t="s">
        <v>226</v>
      </c>
      <c r="C77" s="4" t="s">
        <v>216</v>
      </c>
      <c r="D77" s="4">
        <v>2025.0</v>
      </c>
      <c r="E77" s="4"/>
    </row>
    <row r="78" ht="13.5" customHeight="1">
      <c r="A78" s="4">
        <v>77.0</v>
      </c>
      <c r="B78" s="12" t="s">
        <v>227</v>
      </c>
      <c r="C78" s="4" t="s">
        <v>228</v>
      </c>
      <c r="D78" s="4">
        <v>2025.0</v>
      </c>
      <c r="E78" s="4"/>
    </row>
    <row r="79" ht="13.5" customHeight="1">
      <c r="A79" s="4">
        <v>78.0</v>
      </c>
      <c r="B79" s="4" t="s">
        <v>229</v>
      </c>
      <c r="C79" s="4" t="s">
        <v>230</v>
      </c>
      <c r="D79" s="4">
        <v>2025.0</v>
      </c>
      <c r="E79" s="4"/>
    </row>
    <row r="80" ht="13.5" customHeight="1">
      <c r="A80" s="4">
        <v>79.0</v>
      </c>
      <c r="B80" s="12" t="s">
        <v>231</v>
      </c>
      <c r="C80" s="4" t="s">
        <v>232</v>
      </c>
      <c r="D80" s="4">
        <v>2025.0</v>
      </c>
      <c r="E80" s="4"/>
    </row>
    <row r="81" ht="13.5" customHeight="1">
      <c r="A81" s="4">
        <v>80.0</v>
      </c>
      <c r="B81" s="4" t="s">
        <v>233</v>
      </c>
      <c r="C81" s="4" t="s">
        <v>234</v>
      </c>
      <c r="D81" s="4">
        <v>2025.0</v>
      </c>
      <c r="E81" s="4"/>
    </row>
    <row r="82" ht="13.5" customHeight="1">
      <c r="A82" s="4">
        <v>81.0</v>
      </c>
      <c r="B82" s="4" t="s">
        <v>235</v>
      </c>
      <c r="C82" s="4" t="s">
        <v>236</v>
      </c>
      <c r="D82" s="4">
        <v>2025.0</v>
      </c>
      <c r="E82" s="4"/>
    </row>
    <row r="83" ht="13.5" customHeight="1">
      <c r="A83" s="4">
        <v>82.0</v>
      </c>
      <c r="B83" s="12" t="s">
        <v>237</v>
      </c>
      <c r="C83" s="4" t="s">
        <v>238</v>
      </c>
      <c r="D83" s="4">
        <v>2025.0</v>
      </c>
      <c r="E83" s="4"/>
    </row>
    <row r="84" ht="13.5" customHeight="1">
      <c r="A84" s="4">
        <v>83.0</v>
      </c>
      <c r="B84" s="12" t="s">
        <v>239</v>
      </c>
      <c r="C84" s="4" t="s">
        <v>240</v>
      </c>
      <c r="D84" s="4">
        <v>2025.0</v>
      </c>
      <c r="E84" s="4"/>
    </row>
    <row r="85" ht="13.5" customHeight="1">
      <c r="A85" s="4">
        <v>84.0</v>
      </c>
      <c r="B85" s="12" t="s">
        <v>241</v>
      </c>
      <c r="C85" s="4" t="s">
        <v>216</v>
      </c>
      <c r="D85" s="4">
        <v>2025.0</v>
      </c>
      <c r="E85" s="4"/>
    </row>
    <row r="86" ht="13.5" customHeight="1">
      <c r="A86" s="4">
        <v>85.0</v>
      </c>
      <c r="B86" s="12" t="s">
        <v>242</v>
      </c>
      <c r="C86" s="4" t="s">
        <v>243</v>
      </c>
      <c r="D86" s="4">
        <v>2025.0</v>
      </c>
      <c r="E86" s="4"/>
    </row>
    <row r="87" ht="13.5" customHeight="1">
      <c r="A87" s="4">
        <v>86.0</v>
      </c>
      <c r="B87" s="12" t="s">
        <v>244</v>
      </c>
      <c r="C87" s="4" t="s">
        <v>245</v>
      </c>
      <c r="D87" s="4">
        <v>2025.0</v>
      </c>
      <c r="E87" s="4"/>
    </row>
    <row r="88" ht="13.5" customHeight="1">
      <c r="A88" s="4">
        <v>87.0</v>
      </c>
      <c r="B88" s="12" t="s">
        <v>246</v>
      </c>
      <c r="C88" s="4" t="s">
        <v>103</v>
      </c>
      <c r="D88" s="4">
        <v>2025.0</v>
      </c>
      <c r="E88" s="4"/>
    </row>
    <row r="89" ht="13.5" customHeight="1">
      <c r="A89" s="4">
        <v>88.0</v>
      </c>
      <c r="B89" s="12" t="s">
        <v>247</v>
      </c>
      <c r="C89" s="4" t="s">
        <v>248</v>
      </c>
      <c r="D89" s="4">
        <v>2025.0</v>
      </c>
      <c r="E89" s="4"/>
    </row>
    <row r="90" ht="13.5" customHeight="1">
      <c r="A90" s="4">
        <v>89.0</v>
      </c>
      <c r="B90" s="12" t="s">
        <v>249</v>
      </c>
      <c r="C90" s="4" t="s">
        <v>250</v>
      </c>
      <c r="D90" s="4">
        <v>2025.0</v>
      </c>
      <c r="E90" s="4"/>
    </row>
    <row r="91" ht="13.5" customHeight="1">
      <c r="A91" s="4">
        <v>90.0</v>
      </c>
      <c r="B91" s="12" t="s">
        <v>251</v>
      </c>
      <c r="C91" s="4" t="s">
        <v>176</v>
      </c>
      <c r="D91" s="4">
        <v>2025.0</v>
      </c>
      <c r="E91" s="4"/>
    </row>
    <row r="92" ht="13.5" customHeight="1">
      <c r="A92" s="4">
        <v>91.0</v>
      </c>
      <c r="B92" s="12" t="s">
        <v>252</v>
      </c>
      <c r="C92" s="4" t="s">
        <v>143</v>
      </c>
      <c r="D92" s="4">
        <v>2025.0</v>
      </c>
      <c r="E92" s="4"/>
    </row>
    <row r="93" ht="13.5" customHeight="1">
      <c r="A93" s="4">
        <v>92.0</v>
      </c>
      <c r="B93" s="12" t="s">
        <v>253</v>
      </c>
      <c r="C93" s="4" t="s">
        <v>176</v>
      </c>
      <c r="D93" s="4">
        <v>2025.0</v>
      </c>
      <c r="E93" s="4"/>
    </row>
    <row r="94" ht="13.5" customHeight="1">
      <c r="A94" s="4">
        <v>93.0</v>
      </c>
      <c r="B94" s="12" t="s">
        <v>254</v>
      </c>
      <c r="C94" s="4" t="s">
        <v>255</v>
      </c>
      <c r="D94" s="4">
        <v>2025.0</v>
      </c>
      <c r="E94" s="4"/>
    </row>
    <row r="95" ht="13.5" customHeight="1">
      <c r="A95" s="4">
        <v>94.0</v>
      </c>
      <c r="B95" s="12" t="s">
        <v>256</v>
      </c>
      <c r="C95" s="4" t="s">
        <v>110</v>
      </c>
      <c r="D95" s="4">
        <v>2025.0</v>
      </c>
      <c r="E95" s="4"/>
    </row>
    <row r="96" ht="13.5" customHeight="1">
      <c r="A96" s="4">
        <v>95.0</v>
      </c>
      <c r="B96" s="12" t="s">
        <v>257</v>
      </c>
      <c r="C96" s="4" t="s">
        <v>135</v>
      </c>
      <c r="D96" s="4">
        <v>2025.0</v>
      </c>
      <c r="E96" s="4"/>
    </row>
    <row r="97" ht="13.5" customHeight="1">
      <c r="A97" s="4">
        <v>96.0</v>
      </c>
      <c r="B97" s="12" t="s">
        <v>258</v>
      </c>
      <c r="C97" s="4" t="s">
        <v>259</v>
      </c>
      <c r="D97" s="4">
        <v>2025.0</v>
      </c>
      <c r="E97" s="4"/>
    </row>
    <row r="98" ht="13.5" customHeight="1">
      <c r="A98" s="4">
        <v>97.0</v>
      </c>
      <c r="B98" s="12" t="s">
        <v>260</v>
      </c>
      <c r="C98" s="4" t="s">
        <v>261</v>
      </c>
      <c r="D98" s="4">
        <v>2025.0</v>
      </c>
      <c r="E98" s="4"/>
    </row>
    <row r="99" ht="13.5" customHeight="1">
      <c r="A99" s="4">
        <v>98.0</v>
      </c>
      <c r="B99" s="12" t="s">
        <v>262</v>
      </c>
      <c r="C99" s="4" t="s">
        <v>263</v>
      </c>
      <c r="D99" s="4">
        <v>2025.0</v>
      </c>
      <c r="E99" s="4"/>
    </row>
    <row r="100" ht="13.5" customHeight="1">
      <c r="A100" s="4">
        <v>99.0</v>
      </c>
      <c r="B100" s="12" t="s">
        <v>264</v>
      </c>
      <c r="C100" s="4" t="s">
        <v>265</v>
      </c>
      <c r="D100" s="4">
        <v>2025.0</v>
      </c>
      <c r="E100" s="4"/>
    </row>
    <row r="101" ht="13.5" customHeight="1">
      <c r="A101" s="4">
        <v>100.0</v>
      </c>
      <c r="B101" s="12" t="s">
        <v>266</v>
      </c>
      <c r="C101" s="4" t="s">
        <v>137</v>
      </c>
      <c r="D101" s="4">
        <v>2025.0</v>
      </c>
      <c r="E101" s="4"/>
    </row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3.57"/>
    <col customWidth="1" min="3" max="3" width="23.29"/>
    <col customWidth="1" min="4" max="4" width="9.43"/>
    <col customWidth="1" min="5" max="5" width="12.57"/>
    <col customWidth="1" min="6" max="26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273</v>
      </c>
    </row>
    <row r="2" ht="13.5" customHeight="1">
      <c r="A2" s="4">
        <v>1.0</v>
      </c>
      <c r="B2" s="4" t="s">
        <v>102</v>
      </c>
      <c r="C2" s="4" t="s">
        <v>103</v>
      </c>
      <c r="D2" s="4">
        <v>2025.0</v>
      </c>
      <c r="E2" s="4"/>
    </row>
    <row r="3" ht="13.5" customHeight="1">
      <c r="A3" s="4">
        <v>2.0</v>
      </c>
      <c r="B3" s="4" t="s">
        <v>102</v>
      </c>
      <c r="C3" s="4" t="s">
        <v>105</v>
      </c>
      <c r="D3" s="4">
        <v>2025.0</v>
      </c>
      <c r="E3" s="4"/>
    </row>
    <row r="4" ht="13.5" customHeight="1">
      <c r="A4" s="4">
        <v>3.0</v>
      </c>
      <c r="B4" s="4" t="s">
        <v>102</v>
      </c>
      <c r="C4" s="4" t="s">
        <v>106</v>
      </c>
      <c r="D4" s="4">
        <v>2025.0</v>
      </c>
      <c r="E4" s="4"/>
    </row>
    <row r="5" ht="13.5" customHeight="1">
      <c r="A5" s="4">
        <v>4.0</v>
      </c>
      <c r="B5" s="4" t="s">
        <v>102</v>
      </c>
      <c r="C5" s="4" t="s">
        <v>107</v>
      </c>
      <c r="D5" s="4">
        <v>2025.0</v>
      </c>
      <c r="E5" s="4"/>
    </row>
    <row r="6" ht="13.5" customHeight="1">
      <c r="A6" s="4">
        <v>5.0</v>
      </c>
      <c r="B6" s="4" t="s">
        <v>102</v>
      </c>
      <c r="C6" s="4" t="s">
        <v>108</v>
      </c>
      <c r="D6" s="4">
        <v>2025.0</v>
      </c>
      <c r="E6" s="4"/>
    </row>
    <row r="7" ht="13.5" customHeight="1">
      <c r="A7" s="4">
        <v>6.0</v>
      </c>
      <c r="B7" s="4" t="s">
        <v>102</v>
      </c>
      <c r="C7" s="4" t="s">
        <v>109</v>
      </c>
      <c r="D7" s="4">
        <v>2025.0</v>
      </c>
      <c r="E7" s="4"/>
    </row>
    <row r="8" ht="13.5" customHeight="1">
      <c r="A8" s="4">
        <v>7.0</v>
      </c>
      <c r="B8" s="4" t="s">
        <v>102</v>
      </c>
      <c r="C8" s="4" t="s">
        <v>110</v>
      </c>
      <c r="D8" s="4">
        <v>2025.0</v>
      </c>
      <c r="E8" s="4"/>
    </row>
    <row r="9" ht="13.5" customHeight="1">
      <c r="A9" s="4">
        <v>8.0</v>
      </c>
      <c r="B9" s="4" t="s">
        <v>102</v>
      </c>
      <c r="C9" s="4" t="s">
        <v>111</v>
      </c>
      <c r="D9" s="4">
        <v>2025.0</v>
      </c>
      <c r="E9" s="4"/>
    </row>
    <row r="10" ht="13.5" customHeight="1">
      <c r="A10" s="4">
        <v>9.0</v>
      </c>
      <c r="B10" s="4" t="s">
        <v>112</v>
      </c>
      <c r="C10" s="4" t="s">
        <v>113</v>
      </c>
      <c r="D10" s="4">
        <v>2025.0</v>
      </c>
      <c r="E10" s="4"/>
    </row>
    <row r="11" ht="13.5" customHeight="1">
      <c r="A11" s="4">
        <v>10.0</v>
      </c>
      <c r="B11" s="4" t="s">
        <v>114</v>
      </c>
      <c r="C11" s="4" t="s">
        <v>115</v>
      </c>
      <c r="D11" s="4">
        <v>2025.0</v>
      </c>
      <c r="E11" s="4"/>
    </row>
    <row r="12" ht="13.5" customHeight="1">
      <c r="A12" s="4">
        <v>11.0</v>
      </c>
      <c r="B12" s="4" t="s">
        <v>116</v>
      </c>
      <c r="C12" s="4" t="s">
        <v>117</v>
      </c>
      <c r="D12" s="4">
        <v>2025.0</v>
      </c>
      <c r="E12" s="4"/>
    </row>
    <row r="13" ht="13.5" customHeight="1">
      <c r="A13" s="4">
        <v>12.0</v>
      </c>
      <c r="B13" s="4" t="s">
        <v>102</v>
      </c>
      <c r="C13" s="4" t="s">
        <v>119</v>
      </c>
      <c r="D13" s="4">
        <v>2025.0</v>
      </c>
      <c r="E13" s="4"/>
    </row>
    <row r="14" ht="13.5" customHeight="1">
      <c r="A14" s="4">
        <v>13.0</v>
      </c>
      <c r="B14" s="4" t="s">
        <v>112</v>
      </c>
      <c r="C14" s="4" t="s">
        <v>120</v>
      </c>
      <c r="D14" s="4">
        <v>2025.0</v>
      </c>
      <c r="E14" s="4"/>
    </row>
    <row r="15" ht="13.5" customHeight="1">
      <c r="A15" s="4">
        <v>14.0</v>
      </c>
      <c r="B15" s="4" t="s">
        <v>121</v>
      </c>
      <c r="C15" s="4" t="s">
        <v>103</v>
      </c>
      <c r="D15" s="4">
        <v>2025.0</v>
      </c>
      <c r="E15" s="4"/>
    </row>
    <row r="16" ht="13.5" customHeight="1">
      <c r="A16" s="4">
        <v>15.0</v>
      </c>
      <c r="B16" s="4" t="s">
        <v>122</v>
      </c>
      <c r="C16" s="4" t="s">
        <v>123</v>
      </c>
      <c r="D16" s="4">
        <v>2025.0</v>
      </c>
      <c r="E16" s="4"/>
    </row>
    <row r="17" ht="13.5" customHeight="1">
      <c r="A17" s="4">
        <v>16.0</v>
      </c>
      <c r="B17" s="4" t="s">
        <v>124</v>
      </c>
      <c r="C17" s="4" t="s">
        <v>125</v>
      </c>
      <c r="D17" s="4">
        <v>2025.0</v>
      </c>
      <c r="E17" s="4"/>
    </row>
    <row r="18" ht="13.5" customHeight="1">
      <c r="A18" s="4">
        <v>17.0</v>
      </c>
      <c r="B18" s="4" t="s">
        <v>126</v>
      </c>
      <c r="C18" s="4" t="s">
        <v>127</v>
      </c>
      <c r="D18" s="4">
        <v>2025.0</v>
      </c>
      <c r="E18" s="4"/>
    </row>
    <row r="19" ht="13.5" customHeight="1">
      <c r="A19" s="4">
        <v>18.0</v>
      </c>
      <c r="B19" s="4" t="s">
        <v>128</v>
      </c>
      <c r="C19" s="4" t="s">
        <v>129</v>
      </c>
      <c r="D19" s="4">
        <v>2025.0</v>
      </c>
      <c r="E19" s="4"/>
    </row>
    <row r="20" ht="13.5" customHeight="1">
      <c r="A20" s="4">
        <v>19.0</v>
      </c>
      <c r="B20" s="4" t="s">
        <v>102</v>
      </c>
      <c r="C20" s="4" t="s">
        <v>130</v>
      </c>
      <c r="D20" s="4">
        <v>2025.0</v>
      </c>
      <c r="E20" s="4"/>
    </row>
    <row r="21" ht="13.5" customHeight="1">
      <c r="A21" s="4">
        <v>20.0</v>
      </c>
      <c r="B21" s="4" t="s">
        <v>131</v>
      </c>
      <c r="C21" s="4" t="s">
        <v>103</v>
      </c>
      <c r="D21" s="4">
        <v>2025.0</v>
      </c>
      <c r="E21" s="4"/>
    </row>
    <row r="22" ht="13.5" customHeight="1">
      <c r="A22" s="4">
        <v>21.0</v>
      </c>
      <c r="B22" s="4" t="s">
        <v>132</v>
      </c>
      <c r="C22" s="4" t="s">
        <v>133</v>
      </c>
      <c r="D22" s="4">
        <v>2025.0</v>
      </c>
      <c r="E22" s="4"/>
    </row>
    <row r="23" ht="13.5" customHeight="1">
      <c r="A23" s="4">
        <v>22.0</v>
      </c>
      <c r="B23" s="4" t="s">
        <v>134</v>
      </c>
      <c r="C23" s="4" t="s">
        <v>135</v>
      </c>
      <c r="D23" s="4">
        <v>2025.0</v>
      </c>
      <c r="E23" s="4"/>
    </row>
    <row r="24" ht="13.5" customHeight="1">
      <c r="A24" s="4">
        <v>23.0</v>
      </c>
      <c r="B24" s="4" t="s">
        <v>136</v>
      </c>
      <c r="C24" s="4" t="s">
        <v>137</v>
      </c>
      <c r="D24" s="4">
        <v>2025.0</v>
      </c>
      <c r="E24" s="4"/>
    </row>
    <row r="25" ht="13.5" customHeight="1">
      <c r="A25" s="4">
        <v>24.0</v>
      </c>
      <c r="B25" s="4" t="s">
        <v>138</v>
      </c>
      <c r="C25" s="4" t="s">
        <v>105</v>
      </c>
      <c r="D25" s="4">
        <v>2025.0</v>
      </c>
      <c r="E25" s="4"/>
    </row>
    <row r="26" ht="13.5" customHeight="1">
      <c r="A26" s="4">
        <v>25.0</v>
      </c>
      <c r="B26" s="4" t="s">
        <v>102</v>
      </c>
      <c r="C26" s="4" t="s">
        <v>140</v>
      </c>
      <c r="D26" s="4">
        <v>2025.0</v>
      </c>
      <c r="E26" s="4"/>
    </row>
    <row r="27" ht="13.5" customHeight="1">
      <c r="A27" s="4">
        <v>26.0</v>
      </c>
      <c r="B27" s="4" t="s">
        <v>102</v>
      </c>
      <c r="C27" s="4" t="s">
        <v>141</v>
      </c>
      <c r="D27" s="4">
        <v>2025.0</v>
      </c>
      <c r="E27" s="4"/>
    </row>
    <row r="28" ht="13.5" customHeight="1">
      <c r="A28" s="4">
        <v>27.0</v>
      </c>
      <c r="B28" s="4" t="s">
        <v>102</v>
      </c>
      <c r="C28" s="4" t="s">
        <v>142</v>
      </c>
      <c r="D28" s="4">
        <v>2025.0</v>
      </c>
      <c r="E28" s="4"/>
    </row>
    <row r="29" ht="13.5" customHeight="1">
      <c r="A29" s="4">
        <v>28.0</v>
      </c>
      <c r="B29" s="4" t="s">
        <v>112</v>
      </c>
      <c r="C29" s="4" t="s">
        <v>143</v>
      </c>
      <c r="D29" s="4">
        <v>2025.0</v>
      </c>
      <c r="E29" s="4"/>
    </row>
    <row r="30" ht="13.5" customHeight="1">
      <c r="A30" s="4">
        <v>29.0</v>
      </c>
      <c r="B30" s="4" t="s">
        <v>144</v>
      </c>
      <c r="C30" s="4" t="s">
        <v>145</v>
      </c>
      <c r="D30" s="4">
        <v>2025.0</v>
      </c>
      <c r="E30" s="4"/>
    </row>
    <row r="31" ht="13.5" customHeight="1">
      <c r="A31" s="4">
        <v>30.0</v>
      </c>
      <c r="B31" s="4" t="s">
        <v>147</v>
      </c>
      <c r="C31" s="4" t="s">
        <v>105</v>
      </c>
      <c r="D31" s="4">
        <v>2025.0</v>
      </c>
      <c r="E31" s="4"/>
    </row>
    <row r="32" ht="13.5" customHeight="1">
      <c r="A32" s="4">
        <v>31.0</v>
      </c>
      <c r="B32" s="9" t="s">
        <v>148</v>
      </c>
      <c r="C32" s="9" t="s">
        <v>149</v>
      </c>
      <c r="D32" s="9">
        <v>2025.0</v>
      </c>
      <c r="E32" s="4"/>
    </row>
    <row r="33" ht="13.5" customHeight="1">
      <c r="A33" s="4">
        <v>32.0</v>
      </c>
      <c r="B33" s="4" t="s">
        <v>150</v>
      </c>
      <c r="C33" s="4" t="s">
        <v>151</v>
      </c>
      <c r="D33" s="4">
        <v>2025.0</v>
      </c>
      <c r="E33" s="4"/>
    </row>
    <row r="34" ht="13.5" customHeight="1">
      <c r="A34" s="4">
        <v>33.0</v>
      </c>
      <c r="B34" s="4" t="s">
        <v>152</v>
      </c>
      <c r="C34" s="4" t="s">
        <v>153</v>
      </c>
      <c r="D34" s="4">
        <v>2025.0</v>
      </c>
      <c r="E34" s="4"/>
    </row>
    <row r="35" ht="13.5" customHeight="1">
      <c r="A35" s="4">
        <v>34.0</v>
      </c>
      <c r="B35" s="4" t="s">
        <v>154</v>
      </c>
      <c r="C35" s="4" t="s">
        <v>155</v>
      </c>
      <c r="D35" s="4">
        <v>2025.0</v>
      </c>
      <c r="E35" s="4"/>
    </row>
    <row r="36" ht="13.5" customHeight="1">
      <c r="A36" s="4">
        <v>35.0</v>
      </c>
      <c r="B36" s="4" t="s">
        <v>156</v>
      </c>
      <c r="C36" s="4" t="s">
        <v>157</v>
      </c>
      <c r="D36" s="4">
        <v>2025.0</v>
      </c>
      <c r="E36" s="4"/>
    </row>
    <row r="37" ht="13.5" customHeight="1">
      <c r="A37" s="4">
        <v>36.0</v>
      </c>
      <c r="B37" s="4" t="s">
        <v>158</v>
      </c>
      <c r="C37" s="4" t="s">
        <v>135</v>
      </c>
      <c r="D37" s="4">
        <v>2025.0</v>
      </c>
      <c r="E37" s="4"/>
    </row>
    <row r="38" ht="13.5" customHeight="1">
      <c r="A38" s="4">
        <v>37.0</v>
      </c>
      <c r="B38" s="4" t="s">
        <v>159</v>
      </c>
      <c r="C38" s="4" t="s">
        <v>160</v>
      </c>
      <c r="D38" s="4">
        <v>2025.0</v>
      </c>
      <c r="E38" s="4"/>
    </row>
    <row r="39" ht="13.5" customHeight="1">
      <c r="A39" s="4">
        <v>38.0</v>
      </c>
      <c r="B39" s="4" t="s">
        <v>161</v>
      </c>
      <c r="C39" s="4" t="s">
        <v>110</v>
      </c>
      <c r="D39" s="4">
        <v>2025.0</v>
      </c>
      <c r="E39" s="4"/>
    </row>
    <row r="40" ht="13.5" customHeight="1">
      <c r="A40" s="4">
        <v>39.0</v>
      </c>
      <c r="B40" s="4" t="s">
        <v>163</v>
      </c>
      <c r="C40" s="4" t="s">
        <v>164</v>
      </c>
      <c r="D40" s="4">
        <v>2025.0</v>
      </c>
      <c r="E40" s="4"/>
    </row>
    <row r="41" ht="13.5" customHeight="1">
      <c r="A41" s="4">
        <v>40.0</v>
      </c>
      <c r="B41" s="4" t="s">
        <v>165</v>
      </c>
      <c r="C41" s="4" t="s">
        <v>166</v>
      </c>
      <c r="D41" s="4">
        <v>2025.0</v>
      </c>
      <c r="E41" s="4"/>
    </row>
    <row r="42" ht="13.5" customHeight="1">
      <c r="A42" s="4">
        <v>41.0</v>
      </c>
      <c r="B42" s="4" t="s">
        <v>167</v>
      </c>
      <c r="C42" s="4" t="s">
        <v>106</v>
      </c>
      <c r="D42" s="4">
        <v>2025.0</v>
      </c>
      <c r="E42" s="4"/>
    </row>
    <row r="43" ht="13.5" customHeight="1">
      <c r="A43" s="4">
        <v>42.0</v>
      </c>
      <c r="B43" s="4" t="s">
        <v>168</v>
      </c>
      <c r="C43" s="4" t="s">
        <v>169</v>
      </c>
      <c r="D43" s="4">
        <v>2025.0</v>
      </c>
      <c r="E43" s="4"/>
    </row>
    <row r="44" ht="13.5" customHeight="1">
      <c r="A44" s="4">
        <v>43.0</v>
      </c>
      <c r="B44" s="4" t="s">
        <v>170</v>
      </c>
      <c r="C44" s="4" t="s">
        <v>171</v>
      </c>
      <c r="D44" s="4">
        <v>2025.0</v>
      </c>
      <c r="E44" s="4"/>
    </row>
    <row r="45" ht="13.5" customHeight="1">
      <c r="A45" s="4">
        <v>44.0</v>
      </c>
      <c r="B45" s="4" t="s">
        <v>172</v>
      </c>
      <c r="C45" s="4" t="s">
        <v>173</v>
      </c>
      <c r="D45" s="4">
        <v>2025.0</v>
      </c>
      <c r="E45" s="4"/>
    </row>
    <row r="46" ht="13.5" customHeight="1">
      <c r="A46" s="4">
        <v>45.0</v>
      </c>
      <c r="B46" s="11" t="s">
        <v>174</v>
      </c>
      <c r="C46" s="4" t="s">
        <v>103</v>
      </c>
      <c r="D46" s="4">
        <v>2025.0</v>
      </c>
      <c r="E46" s="4"/>
    </row>
    <row r="47" ht="13.5" customHeight="1">
      <c r="A47" s="4">
        <v>46.0</v>
      </c>
      <c r="B47" s="4" t="s">
        <v>175</v>
      </c>
      <c r="C47" s="4" t="s">
        <v>176</v>
      </c>
      <c r="D47" s="4">
        <v>2025.0</v>
      </c>
      <c r="E47" s="4"/>
    </row>
    <row r="48" ht="13.5" customHeight="1">
      <c r="A48" s="4">
        <v>47.0</v>
      </c>
      <c r="B48" s="12" t="s">
        <v>177</v>
      </c>
      <c r="C48" s="4" t="s">
        <v>178</v>
      </c>
      <c r="D48" s="4">
        <v>2025.0</v>
      </c>
      <c r="E48" s="4"/>
    </row>
    <row r="49" ht="13.5" customHeight="1">
      <c r="A49" s="4">
        <v>48.0</v>
      </c>
      <c r="B49" s="4" t="s">
        <v>179</v>
      </c>
      <c r="C49" s="4" t="s">
        <v>180</v>
      </c>
      <c r="D49" s="4">
        <v>2025.0</v>
      </c>
      <c r="E49" s="4"/>
    </row>
    <row r="50" ht="13.5" customHeight="1">
      <c r="A50" s="4">
        <v>49.0</v>
      </c>
      <c r="B50" s="4" t="s">
        <v>181</v>
      </c>
      <c r="C50" s="4" t="s">
        <v>182</v>
      </c>
      <c r="D50" s="4">
        <v>2025.0</v>
      </c>
      <c r="E50" s="4"/>
    </row>
    <row r="51" ht="13.5" customHeight="1">
      <c r="A51" s="4">
        <v>50.0</v>
      </c>
      <c r="B51" s="4" t="s">
        <v>183</v>
      </c>
      <c r="C51" s="4" t="s">
        <v>184</v>
      </c>
      <c r="D51" s="4">
        <v>2025.0</v>
      </c>
      <c r="E51" s="4"/>
    </row>
    <row r="52" ht="13.5" customHeight="1">
      <c r="A52" s="4">
        <v>51.0</v>
      </c>
      <c r="B52" s="4" t="s">
        <v>185</v>
      </c>
      <c r="C52" s="4" t="s">
        <v>186</v>
      </c>
      <c r="D52" s="4">
        <v>2025.0</v>
      </c>
      <c r="E52" s="4"/>
    </row>
    <row r="53" ht="13.5" customHeight="1">
      <c r="A53" s="4">
        <v>52.0</v>
      </c>
      <c r="B53" s="4" t="s">
        <v>187</v>
      </c>
      <c r="C53" s="4" t="s">
        <v>171</v>
      </c>
      <c r="D53" s="4">
        <v>2025.0</v>
      </c>
      <c r="E53" s="4"/>
    </row>
    <row r="54" ht="13.5" customHeight="1">
      <c r="A54" s="4">
        <v>53.0</v>
      </c>
      <c r="B54" s="4" t="s">
        <v>188</v>
      </c>
      <c r="C54" s="4" t="s">
        <v>130</v>
      </c>
      <c r="D54" s="4">
        <v>2025.0</v>
      </c>
      <c r="E54" s="4"/>
    </row>
    <row r="55" ht="13.5" customHeight="1">
      <c r="A55" s="4">
        <v>54.0</v>
      </c>
      <c r="B55" s="4" t="s">
        <v>189</v>
      </c>
      <c r="C55" s="4" t="s">
        <v>190</v>
      </c>
      <c r="D55" s="4">
        <v>2025.0</v>
      </c>
      <c r="E55" s="4"/>
    </row>
    <row r="56" ht="13.5" customHeight="1">
      <c r="A56" s="4">
        <v>55.0</v>
      </c>
      <c r="B56" s="4" t="s">
        <v>191</v>
      </c>
      <c r="C56" s="4" t="s">
        <v>192</v>
      </c>
      <c r="D56" s="4">
        <v>2025.0</v>
      </c>
      <c r="E56" s="4"/>
    </row>
    <row r="57" ht="13.5" customHeight="1">
      <c r="A57" s="4">
        <v>56.0</v>
      </c>
      <c r="B57" s="4" t="s">
        <v>193</v>
      </c>
      <c r="C57" s="4" t="s">
        <v>194</v>
      </c>
      <c r="D57" s="4">
        <v>2025.0</v>
      </c>
      <c r="E57" s="4"/>
    </row>
    <row r="58" ht="13.5" customHeight="1">
      <c r="A58" s="4">
        <v>57.0</v>
      </c>
      <c r="B58" s="4" t="s">
        <v>195</v>
      </c>
      <c r="C58" s="4" t="s">
        <v>196</v>
      </c>
      <c r="D58" s="4">
        <v>2025.0</v>
      </c>
      <c r="E58" s="4"/>
    </row>
    <row r="59" ht="13.5" customHeight="1">
      <c r="A59" s="4">
        <v>58.0</v>
      </c>
      <c r="B59" s="4" t="s">
        <v>197</v>
      </c>
      <c r="C59" s="4" t="s">
        <v>169</v>
      </c>
      <c r="D59" s="4">
        <v>2025.0</v>
      </c>
      <c r="E59" s="4"/>
    </row>
    <row r="60" ht="13.5" customHeight="1">
      <c r="A60" s="4">
        <v>59.0</v>
      </c>
      <c r="B60" s="4" t="s">
        <v>198</v>
      </c>
      <c r="C60" s="4" t="s">
        <v>199</v>
      </c>
      <c r="D60" s="4">
        <v>2025.0</v>
      </c>
      <c r="E60" s="4"/>
    </row>
    <row r="61" ht="13.5" customHeight="1">
      <c r="A61" s="4">
        <v>60.0</v>
      </c>
      <c r="B61" s="4" t="s">
        <v>200</v>
      </c>
      <c r="C61" s="4" t="s">
        <v>201</v>
      </c>
      <c r="D61" s="4">
        <v>2025.0</v>
      </c>
      <c r="E61" s="4"/>
    </row>
    <row r="62" ht="13.5" customHeight="1">
      <c r="A62" s="4">
        <v>61.0</v>
      </c>
      <c r="B62" s="4" t="s">
        <v>202</v>
      </c>
      <c r="C62" s="4" t="s">
        <v>203</v>
      </c>
      <c r="D62" s="4">
        <v>2025.0</v>
      </c>
      <c r="E62" s="4"/>
    </row>
    <row r="63" ht="13.5" customHeight="1">
      <c r="A63" s="4">
        <v>62.0</v>
      </c>
      <c r="B63" s="12" t="s">
        <v>204</v>
      </c>
      <c r="C63" s="4" t="s">
        <v>205</v>
      </c>
      <c r="D63" s="4">
        <v>2025.0</v>
      </c>
      <c r="E63" s="4"/>
    </row>
    <row r="64" ht="13.5" customHeight="1">
      <c r="A64" s="4">
        <v>63.0</v>
      </c>
      <c r="B64" s="12" t="s">
        <v>206</v>
      </c>
      <c r="C64" s="4" t="s">
        <v>105</v>
      </c>
      <c r="D64" s="4">
        <v>2025.0</v>
      </c>
      <c r="E64" s="4"/>
    </row>
    <row r="65" ht="13.5" customHeight="1">
      <c r="A65" s="4">
        <v>64.0</v>
      </c>
      <c r="B65" s="13" t="s">
        <v>207</v>
      </c>
      <c r="C65" s="4" t="s">
        <v>208</v>
      </c>
      <c r="D65" s="4">
        <v>2025.0</v>
      </c>
      <c r="E65" s="4"/>
    </row>
    <row r="66" ht="13.5" customHeight="1">
      <c r="A66" s="4">
        <v>65.0</v>
      </c>
      <c r="B66" s="13" t="s">
        <v>209</v>
      </c>
      <c r="C66" s="4" t="s">
        <v>210</v>
      </c>
      <c r="D66" s="4">
        <v>2025.0</v>
      </c>
      <c r="E66" s="4"/>
    </row>
    <row r="67" ht="13.5" customHeight="1">
      <c r="A67" s="4">
        <v>66.0</v>
      </c>
      <c r="B67" s="4" t="s">
        <v>211</v>
      </c>
      <c r="C67" s="4" t="s">
        <v>212</v>
      </c>
      <c r="D67" s="4">
        <v>2025.0</v>
      </c>
      <c r="E67" s="4"/>
    </row>
    <row r="68" ht="13.5" customHeight="1">
      <c r="A68" s="4">
        <v>67.0</v>
      </c>
      <c r="B68" s="13" t="s">
        <v>213</v>
      </c>
      <c r="C68" s="4" t="s">
        <v>137</v>
      </c>
      <c r="D68" s="4">
        <v>2025.0</v>
      </c>
      <c r="E68" s="4"/>
    </row>
    <row r="69" ht="13.5" customHeight="1">
      <c r="A69" s="4">
        <v>68.0</v>
      </c>
      <c r="B69" s="4" t="s">
        <v>214</v>
      </c>
      <c r="C69" s="4" t="s">
        <v>103</v>
      </c>
      <c r="D69" s="4">
        <v>2025.0</v>
      </c>
      <c r="E69" s="4"/>
    </row>
    <row r="70" ht="13.5" customHeight="1">
      <c r="A70" s="4">
        <v>69.0</v>
      </c>
      <c r="B70" s="12" t="s">
        <v>215</v>
      </c>
      <c r="C70" s="4" t="s">
        <v>216</v>
      </c>
      <c r="D70" s="4">
        <v>2025.0</v>
      </c>
      <c r="E70" s="4"/>
    </row>
    <row r="71" ht="13.5" customHeight="1">
      <c r="A71" s="4">
        <v>70.0</v>
      </c>
      <c r="B71" s="4" t="s">
        <v>217</v>
      </c>
      <c r="C71" s="4" t="s">
        <v>210</v>
      </c>
      <c r="D71" s="4">
        <v>2025.0</v>
      </c>
      <c r="E71" s="4"/>
    </row>
    <row r="72" ht="13.5" customHeight="1">
      <c r="A72" s="4">
        <v>71.0</v>
      </c>
      <c r="B72" s="4" t="s">
        <v>218</v>
      </c>
      <c r="C72" s="4" t="s">
        <v>219</v>
      </c>
      <c r="D72" s="4">
        <v>2025.0</v>
      </c>
      <c r="E72" s="4"/>
    </row>
    <row r="73" ht="13.5" customHeight="1">
      <c r="A73" s="4">
        <v>72.0</v>
      </c>
      <c r="B73" s="4" t="s">
        <v>220</v>
      </c>
      <c r="C73" s="4" t="s">
        <v>221</v>
      </c>
      <c r="D73" s="4">
        <v>2025.0</v>
      </c>
      <c r="E73" s="4"/>
    </row>
    <row r="74" ht="13.5" customHeight="1">
      <c r="A74" s="4">
        <v>73.0</v>
      </c>
      <c r="B74" s="4" t="s">
        <v>222</v>
      </c>
      <c r="C74" s="4" t="s">
        <v>223</v>
      </c>
      <c r="D74" s="4">
        <v>2025.0</v>
      </c>
      <c r="E74" s="4"/>
    </row>
    <row r="75" ht="13.5" customHeight="1">
      <c r="A75" s="4">
        <v>74.0</v>
      </c>
      <c r="B75" s="4" t="s">
        <v>224</v>
      </c>
      <c r="C75" s="4" t="s">
        <v>110</v>
      </c>
      <c r="D75" s="4">
        <v>2025.0</v>
      </c>
      <c r="E75" s="4"/>
    </row>
    <row r="76" ht="13.5" customHeight="1">
      <c r="A76" s="4">
        <v>75.0</v>
      </c>
      <c r="B76" s="4" t="s">
        <v>225</v>
      </c>
      <c r="C76" s="4" t="s">
        <v>216</v>
      </c>
      <c r="D76" s="4">
        <v>2025.0</v>
      </c>
      <c r="E76" s="4"/>
    </row>
    <row r="77" ht="13.5" customHeight="1">
      <c r="A77" s="4">
        <v>76.0</v>
      </c>
      <c r="B77" s="4" t="s">
        <v>226</v>
      </c>
      <c r="C77" s="4" t="s">
        <v>216</v>
      </c>
      <c r="D77" s="4">
        <v>2025.0</v>
      </c>
      <c r="E77" s="4"/>
    </row>
    <row r="78" ht="13.5" customHeight="1">
      <c r="A78" s="4">
        <v>77.0</v>
      </c>
      <c r="B78" s="12" t="s">
        <v>227</v>
      </c>
      <c r="C78" s="4" t="s">
        <v>228</v>
      </c>
      <c r="D78" s="4">
        <v>2025.0</v>
      </c>
      <c r="E78" s="4"/>
    </row>
    <row r="79" ht="13.5" customHeight="1">
      <c r="A79" s="4">
        <v>78.0</v>
      </c>
      <c r="B79" s="4" t="s">
        <v>229</v>
      </c>
      <c r="C79" s="4" t="s">
        <v>230</v>
      </c>
      <c r="D79" s="4">
        <v>2025.0</v>
      </c>
      <c r="E79" s="4"/>
    </row>
    <row r="80" ht="13.5" customHeight="1">
      <c r="A80" s="4">
        <v>79.0</v>
      </c>
      <c r="B80" s="12" t="s">
        <v>231</v>
      </c>
      <c r="C80" s="4" t="s">
        <v>232</v>
      </c>
      <c r="D80" s="4">
        <v>2025.0</v>
      </c>
      <c r="E80" s="4"/>
    </row>
    <row r="81" ht="13.5" customHeight="1">
      <c r="A81" s="4">
        <v>80.0</v>
      </c>
      <c r="B81" s="4" t="s">
        <v>233</v>
      </c>
      <c r="C81" s="4" t="s">
        <v>234</v>
      </c>
      <c r="D81" s="4">
        <v>2025.0</v>
      </c>
      <c r="E81" s="4"/>
    </row>
    <row r="82" ht="13.5" customHeight="1">
      <c r="A82" s="4">
        <v>81.0</v>
      </c>
      <c r="B82" s="4" t="s">
        <v>235</v>
      </c>
      <c r="C82" s="4" t="s">
        <v>236</v>
      </c>
      <c r="D82" s="4">
        <v>2025.0</v>
      </c>
      <c r="E82" s="4"/>
    </row>
    <row r="83" ht="13.5" customHeight="1">
      <c r="A83" s="4">
        <v>82.0</v>
      </c>
      <c r="B83" s="12" t="s">
        <v>237</v>
      </c>
      <c r="C83" s="4" t="s">
        <v>238</v>
      </c>
      <c r="D83" s="4">
        <v>2025.0</v>
      </c>
      <c r="E83" s="4"/>
    </row>
    <row r="84" ht="13.5" customHeight="1">
      <c r="A84" s="4">
        <v>83.0</v>
      </c>
      <c r="B84" s="12" t="s">
        <v>239</v>
      </c>
      <c r="C84" s="4" t="s">
        <v>240</v>
      </c>
      <c r="D84" s="4">
        <v>2025.0</v>
      </c>
      <c r="E84" s="4"/>
    </row>
    <row r="85" ht="13.5" customHeight="1">
      <c r="A85" s="4">
        <v>84.0</v>
      </c>
      <c r="B85" s="12" t="s">
        <v>241</v>
      </c>
      <c r="C85" s="4" t="s">
        <v>216</v>
      </c>
      <c r="D85" s="4">
        <v>2025.0</v>
      </c>
      <c r="E85" s="4"/>
    </row>
    <row r="86" ht="13.5" customHeight="1">
      <c r="A86" s="4">
        <v>85.0</v>
      </c>
      <c r="B86" s="12" t="s">
        <v>242</v>
      </c>
      <c r="C86" s="4" t="s">
        <v>243</v>
      </c>
      <c r="D86" s="4">
        <v>2025.0</v>
      </c>
      <c r="E86" s="4"/>
    </row>
    <row r="87" ht="13.5" customHeight="1">
      <c r="A87" s="4">
        <v>86.0</v>
      </c>
      <c r="B87" s="12" t="s">
        <v>244</v>
      </c>
      <c r="C87" s="4" t="s">
        <v>245</v>
      </c>
      <c r="D87" s="4">
        <v>2025.0</v>
      </c>
      <c r="E87" s="4"/>
    </row>
    <row r="88" ht="13.5" customHeight="1">
      <c r="A88" s="4">
        <v>87.0</v>
      </c>
      <c r="B88" s="12" t="s">
        <v>246</v>
      </c>
      <c r="C88" s="4" t="s">
        <v>103</v>
      </c>
      <c r="D88" s="4">
        <v>2025.0</v>
      </c>
      <c r="E88" s="4"/>
    </row>
    <row r="89" ht="13.5" customHeight="1">
      <c r="A89" s="4">
        <v>88.0</v>
      </c>
      <c r="B89" s="12" t="s">
        <v>247</v>
      </c>
      <c r="C89" s="4" t="s">
        <v>248</v>
      </c>
      <c r="D89" s="4">
        <v>2025.0</v>
      </c>
      <c r="E89" s="4"/>
    </row>
    <row r="90" ht="13.5" customHeight="1">
      <c r="A90" s="4">
        <v>89.0</v>
      </c>
      <c r="B90" s="12" t="s">
        <v>249</v>
      </c>
      <c r="C90" s="4" t="s">
        <v>250</v>
      </c>
      <c r="D90" s="4">
        <v>2025.0</v>
      </c>
      <c r="E90" s="4"/>
    </row>
    <row r="91" ht="13.5" customHeight="1">
      <c r="A91" s="4">
        <v>90.0</v>
      </c>
      <c r="B91" s="12" t="s">
        <v>251</v>
      </c>
      <c r="C91" s="4" t="s">
        <v>176</v>
      </c>
      <c r="D91" s="4">
        <v>2025.0</v>
      </c>
      <c r="E91" s="4"/>
    </row>
    <row r="92" ht="13.5" customHeight="1">
      <c r="A92" s="4">
        <v>91.0</v>
      </c>
      <c r="B92" s="12" t="s">
        <v>252</v>
      </c>
      <c r="C92" s="4" t="s">
        <v>143</v>
      </c>
      <c r="D92" s="4">
        <v>2025.0</v>
      </c>
      <c r="E92" s="4"/>
    </row>
    <row r="93" ht="13.5" customHeight="1">
      <c r="A93" s="4">
        <v>92.0</v>
      </c>
      <c r="B93" s="12" t="s">
        <v>253</v>
      </c>
      <c r="C93" s="4" t="s">
        <v>176</v>
      </c>
      <c r="D93" s="4">
        <v>2025.0</v>
      </c>
      <c r="E93" s="4"/>
    </row>
    <row r="94" ht="13.5" customHeight="1">
      <c r="A94" s="4">
        <v>93.0</v>
      </c>
      <c r="B94" s="12" t="s">
        <v>254</v>
      </c>
      <c r="C94" s="4" t="s">
        <v>255</v>
      </c>
      <c r="D94" s="4">
        <v>2025.0</v>
      </c>
      <c r="E94" s="4"/>
    </row>
    <row r="95" ht="13.5" customHeight="1">
      <c r="A95" s="4">
        <v>94.0</v>
      </c>
      <c r="B95" s="12" t="s">
        <v>256</v>
      </c>
      <c r="C95" s="4" t="s">
        <v>110</v>
      </c>
      <c r="D95" s="4">
        <v>2025.0</v>
      </c>
      <c r="E95" s="4"/>
    </row>
    <row r="96" ht="13.5" customHeight="1">
      <c r="A96" s="4">
        <v>95.0</v>
      </c>
      <c r="B96" s="12" t="s">
        <v>257</v>
      </c>
      <c r="C96" s="4" t="s">
        <v>135</v>
      </c>
      <c r="D96" s="4">
        <v>2025.0</v>
      </c>
      <c r="E96" s="4"/>
    </row>
    <row r="97" ht="13.5" customHeight="1">
      <c r="A97" s="4">
        <v>96.0</v>
      </c>
      <c r="B97" s="12" t="s">
        <v>258</v>
      </c>
      <c r="C97" s="4" t="s">
        <v>259</v>
      </c>
      <c r="D97" s="4">
        <v>2025.0</v>
      </c>
      <c r="E97" s="4"/>
    </row>
    <row r="98" ht="13.5" customHeight="1">
      <c r="A98" s="4">
        <v>97.0</v>
      </c>
      <c r="B98" s="12" t="s">
        <v>260</v>
      </c>
      <c r="C98" s="4" t="s">
        <v>261</v>
      </c>
      <c r="D98" s="4">
        <v>2025.0</v>
      </c>
      <c r="E98" s="4"/>
    </row>
    <row r="99" ht="13.5" customHeight="1">
      <c r="A99" s="4">
        <v>98.0</v>
      </c>
      <c r="B99" s="12" t="s">
        <v>262</v>
      </c>
      <c r="C99" s="4" t="s">
        <v>263</v>
      </c>
      <c r="D99" s="4">
        <v>2025.0</v>
      </c>
      <c r="E99" s="4"/>
    </row>
    <row r="100" ht="13.5" customHeight="1">
      <c r="A100" s="4">
        <v>99.0</v>
      </c>
      <c r="B100" s="12" t="s">
        <v>264</v>
      </c>
      <c r="C100" s="4" t="s">
        <v>265</v>
      </c>
      <c r="D100" s="4">
        <v>2025.0</v>
      </c>
      <c r="E100" s="4"/>
    </row>
    <row r="101" ht="13.5" customHeight="1">
      <c r="A101" s="4">
        <v>100.0</v>
      </c>
      <c r="B101" s="12" t="s">
        <v>266</v>
      </c>
      <c r="C101" s="4" t="s">
        <v>137</v>
      </c>
      <c r="D101" s="4">
        <v>2025.0</v>
      </c>
      <c r="E101" s="4"/>
    </row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2011-06-22T11:27:57Z</dcterms:created>
  <dc:creator>Wondershare_PDF_Convertor</dc:creator>
</cp:coreProperties>
</file>