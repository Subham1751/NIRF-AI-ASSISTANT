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Data(FRU)" sheetId="1" r:id="rId4"/>
    <sheet state="visible" name="Sheet2" sheetId="2" r:id="rId5"/>
    <sheet state="visible" name="Sheet3" sheetId="3" r:id="rId6"/>
  </sheets>
  <definedNames>
    <definedName hidden="1" localSheetId="0" name="_xlnm._FilterDatabase">'MasterData(FRU)'!$A$1:$AJ$101</definedName>
    <definedName hidden="1" localSheetId="2" name="_xlnm._FilterDatabase">Sheet3!$A$7:$M$107</definedName>
  </definedNames>
  <calcPr/>
</workbook>
</file>

<file path=xl/sharedStrings.xml><?xml version="1.0" encoding="utf-8"?>
<sst xmlns="http://schemas.openxmlformats.org/spreadsheetml/2006/main" count="559" uniqueCount="207">
  <si>
    <t>Rank</t>
  </si>
  <si>
    <t>University_Name</t>
  </si>
  <si>
    <t>State</t>
  </si>
  <si>
    <t>University_Type</t>
  </si>
  <si>
    <t>Year</t>
  </si>
  <si>
    <t>FRU_Score</t>
  </si>
  <si>
    <t>Total_Admitted_Students_2023-2024</t>
  </si>
  <si>
    <t>Library_2023-2024</t>
  </si>
  <si>
    <t>Lab_New_Equipment_Software_2023-2024</t>
  </si>
  <si>
    <t>Engineering_Workshops_2023-2024</t>
  </si>
  <si>
    <t>Other_Expenditure_2023-2024</t>
  </si>
  <si>
    <t>Total_Capital_Expenditure_2023-24</t>
  </si>
  <si>
    <t>Salaries_2023-2024</t>
  </si>
  <si>
    <t>Academic_Infra_Maintenance_2023-2024</t>
  </si>
  <si>
    <t>Seminars_Conferences_Workshops_2023-2024</t>
  </si>
  <si>
    <t>Total_Operational_Expenditure_2023-2024</t>
  </si>
  <si>
    <t>Total_Admitted_Students_2022-2023</t>
  </si>
  <si>
    <t>Library_2022-2023</t>
  </si>
  <si>
    <t>Lab_New_Equipment_Software_2022-2023</t>
  </si>
  <si>
    <t>Engineering_Workshops_2022-2023</t>
  </si>
  <si>
    <t>Other_Expenditure_2022-2023</t>
  </si>
  <si>
    <t>Total_Capital_Expenditure_2022-2023</t>
  </si>
  <si>
    <t>Salaries_2022-2023</t>
  </si>
  <si>
    <t>Academic_Infra_Maintenance_2022-2023</t>
  </si>
  <si>
    <t>Seminars_Conferences_Workshops_2022-2023</t>
  </si>
  <si>
    <t>Total_Operational_Expenditure_2022-2023</t>
  </si>
  <si>
    <t>Total_Admitted_Students_2021-2022</t>
  </si>
  <si>
    <t>Library_2021-2022</t>
  </si>
  <si>
    <t>Lab_New_Equipment_Software_2021-2022</t>
  </si>
  <si>
    <t>Engineering_Workshops_2021-2022</t>
  </si>
  <si>
    <t>Other_Expenditure_2021-2022</t>
  </si>
  <si>
    <t>Total_Capital_Expenditure_2021-2022</t>
  </si>
  <si>
    <t>Salaries_2021-2022</t>
  </si>
  <si>
    <t>Academic_Infra_Maintenance_2021-2022</t>
  </si>
  <si>
    <t>Seminars_Conferences_Workshops_2021-2022</t>
  </si>
  <si>
    <t>Total_Operational_Expenditure_2021-2022</t>
  </si>
  <si>
    <t>Indian Institute of Technology</t>
  </si>
  <si>
    <t>Chennai</t>
  </si>
  <si>
    <t>Govt</t>
  </si>
  <si>
    <t>New Delhi</t>
  </si>
  <si>
    <t>Mumbai</t>
  </si>
  <si>
    <t>Kanpur</t>
  </si>
  <si>
    <t>Kharagpur</t>
  </si>
  <si>
    <t>Roorkee</t>
  </si>
  <si>
    <t>Hyderabad</t>
  </si>
  <si>
    <t>Guwahati</t>
  </si>
  <si>
    <t>National Institute of Technology</t>
  </si>
  <si>
    <t>Tiruchirapalli</t>
  </si>
  <si>
    <t>Indian Institute of Technology (Banaras Hindu University)</t>
  </si>
  <si>
    <t>Varanasi</t>
  </si>
  <si>
    <t>Birla Institute of Technology &amp; Science</t>
  </si>
  <si>
    <t>Pilani</t>
  </si>
  <si>
    <t>Deemed</t>
  </si>
  <si>
    <t>Indore</t>
  </si>
  <si>
    <t>Rourkela</t>
  </si>
  <si>
    <t>S.R.M Institute of Science &amp; Technology</t>
  </si>
  <si>
    <t>Indian Institute of Technology (Indian School of Mines)</t>
  </si>
  <si>
    <t>Dhanbad</t>
  </si>
  <si>
    <t>Vellore Institute of Technology</t>
  </si>
  <si>
    <t>Vellore</t>
  </si>
  <si>
    <t>National Institute of Technology Karnataka</t>
  </si>
  <si>
    <t>Surathkal</t>
  </si>
  <si>
    <t>Jadavpur University</t>
  </si>
  <si>
    <t>Kolkata</t>
  </si>
  <si>
    <t>Patna</t>
  </si>
  <si>
    <t>Anna University</t>
  </si>
  <si>
    <t>National Institute of Technology Calicut</t>
  </si>
  <si>
    <t>Kozhikode</t>
  </si>
  <si>
    <t>Siksha `O` Anusandhan</t>
  </si>
  <si>
    <t>Bhubaneswar</t>
  </si>
  <si>
    <t>Amrita Vishwa Vidyapeetham</t>
  </si>
  <si>
    <t>Coimbatore</t>
  </si>
  <si>
    <t>Jamia Milia Islamia</t>
  </si>
  <si>
    <t>Central</t>
  </si>
  <si>
    <t>Gandhinagar</t>
  </si>
  <si>
    <t>Mandi</t>
  </si>
  <si>
    <t>Jodhpur</t>
  </si>
  <si>
    <t>Warangal</t>
  </si>
  <si>
    <t>Thapar University</t>
  </si>
  <si>
    <t>Patiala</t>
  </si>
  <si>
    <t>Private</t>
  </si>
  <si>
    <t>Delhi Technological University</t>
  </si>
  <si>
    <t>Chandigarh University</t>
  </si>
  <si>
    <t>Punjab</t>
  </si>
  <si>
    <t>Indian Institute of Technology Ropar</t>
  </si>
  <si>
    <t>Rupnagar</t>
  </si>
  <si>
    <t>Kalasingham Academy of Research and Education</t>
  </si>
  <si>
    <t>Krishnan Koil</t>
  </si>
  <si>
    <t>Aligarh Muslim University</t>
  </si>
  <si>
    <t>Aligarh</t>
  </si>
  <si>
    <t>Koneru Lakshmaiah Education Foundation University (K L College of Engineering)</t>
  </si>
  <si>
    <t>Vaddeswaram</t>
  </si>
  <si>
    <t>Kalinga Institute of Industrial Technology</t>
  </si>
  <si>
    <t>Amity University</t>
  </si>
  <si>
    <t>Gautam Budh Nagar</t>
  </si>
  <si>
    <t>International Institute of Information Technology Hyderabad</t>
  </si>
  <si>
    <t>Autonomous</t>
  </si>
  <si>
    <t>Indian Institute of Technology Bhubaneswar</t>
  </si>
  <si>
    <t>Bhubaneshwar</t>
  </si>
  <si>
    <t>Shanmugha Arts Science Technology &amp; Research Academy</t>
  </si>
  <si>
    <t>Thanjavur</t>
  </si>
  <si>
    <t>Institute of Chemical Technology</t>
  </si>
  <si>
    <t>Malaviya National Institute of Technology</t>
  </si>
  <si>
    <t>Jaipur</t>
  </si>
  <si>
    <t>UPES</t>
  </si>
  <si>
    <t>Dehradun</t>
  </si>
  <si>
    <t>Visvesvaraya National Institute of Technology, Nagpur</t>
  </si>
  <si>
    <t>Nagpur</t>
  </si>
  <si>
    <t>Saveetha Institute of Medical and Technical Sciences</t>
  </si>
  <si>
    <t>Symbiosis International</t>
  </si>
  <si>
    <t>Pune</t>
  </si>
  <si>
    <t>Sri Sivasubramaniya Nadar College of Engineering</t>
  </si>
  <si>
    <t>Kalavakkam</t>
  </si>
  <si>
    <t>Lovely Professional University</t>
  </si>
  <si>
    <t>Phagwara</t>
  </si>
  <si>
    <t>National Institute of Technology Durgapur</t>
  </si>
  <si>
    <t>Durgapur</t>
  </si>
  <si>
    <t>National Institute of Technology Silchar</t>
  </si>
  <si>
    <t>Silchar</t>
  </si>
  <si>
    <t>Birla Institute of Technology</t>
  </si>
  <si>
    <t>Ranchi</t>
  </si>
  <si>
    <t>Graphic Era University</t>
  </si>
  <si>
    <t>National Institute of Technology Patna</t>
  </si>
  <si>
    <t>Indian Institute of Engineering Science and Technology, Shibpur</t>
  </si>
  <si>
    <t>Howrah</t>
  </si>
  <si>
    <t>Dr. B R Ambedkar National Institute of Technology, Jalandhar</t>
  </si>
  <si>
    <t>Jalandhar</t>
  </si>
  <si>
    <t>Indian Institute of Technology Jammu</t>
  </si>
  <si>
    <t>Jammu</t>
  </si>
  <si>
    <t>Indian Institute of Technology, Tirupati</t>
  </si>
  <si>
    <t>Tirupati</t>
  </si>
  <si>
    <t>Manipal University</t>
  </si>
  <si>
    <t>Manipal Institute of Technology</t>
  </si>
  <si>
    <t>Manipal</t>
  </si>
  <si>
    <t>Madan Mohan Malaviya University of Technology</t>
  </si>
  <si>
    <t>Gorakhpur</t>
  </si>
  <si>
    <t>Indian Institute of Space Science and Technology</t>
  </si>
  <si>
    <t>Thiruvananthpuram</t>
  </si>
  <si>
    <t>Motilal Nehru National Institute of Technology</t>
  </si>
  <si>
    <t>Prayagraj</t>
  </si>
  <si>
    <t>Indraprastha Institute of Information Technology</t>
  </si>
  <si>
    <t>Indian Institute of Technology Palakkad</t>
  </si>
  <si>
    <t>Palakkad</t>
  </si>
  <si>
    <t>National Institute of Technology Delhi</t>
  </si>
  <si>
    <t>Delhi</t>
  </si>
  <si>
    <t>Sardar Vallabhbhai National Institute of Technology</t>
  </si>
  <si>
    <t>Surat</t>
  </si>
  <si>
    <t>PSG College of Technology</t>
  </si>
  <si>
    <t>Sathyabama Institute of Science and Technology</t>
  </si>
  <si>
    <t>International Institute of Information Technology Bangalore</t>
  </si>
  <si>
    <t>Bengaluru</t>
  </si>
  <si>
    <t>Netaji Subhas University of Technology (NSUT)</t>
  </si>
  <si>
    <t>Banasthali Vidyapith</t>
  </si>
  <si>
    <t>Banasthali</t>
  </si>
  <si>
    <t>Indian Institute of Technology Bhilai</t>
  </si>
  <si>
    <t>Durg</t>
  </si>
  <si>
    <t>National Institute of Technology Srinagar</t>
  </si>
  <si>
    <t>Srinagar</t>
  </si>
  <si>
    <t>University of Hyderabad</t>
  </si>
  <si>
    <t>M. S. Ramaiah Institute of Technology</t>
  </si>
  <si>
    <t>Christ University</t>
  </si>
  <si>
    <t>Indian Institute of Technology Dharwad</t>
  </si>
  <si>
    <t>Dharwad</t>
  </si>
  <si>
    <t>Rajiv Gandhi Institute of Petroleum Technology</t>
  </si>
  <si>
    <t>Amethi</t>
  </si>
  <si>
    <t>Sant Longowal Institute of Engineering &amp; Technology</t>
  </si>
  <si>
    <t>Longowal</t>
  </si>
  <si>
    <t>Vignan's Foundation for Science, Technology and Research</t>
  </si>
  <si>
    <t>Guntur</t>
  </si>
  <si>
    <t>Maulana Azad National Institute of Technology</t>
  </si>
  <si>
    <t>Bhopal</t>
  </si>
  <si>
    <t>National Institute of Technology, Jamshedpur</t>
  </si>
  <si>
    <t>Jamshedpur</t>
  </si>
  <si>
    <t>National Institute of Technology Meghalaya</t>
  </si>
  <si>
    <t>Shillong</t>
  </si>
  <si>
    <t>Jain university,Bangalore</t>
  </si>
  <si>
    <t>National Institute of Technology Kurukshetra</t>
  </si>
  <si>
    <t>Kurukshatra</t>
  </si>
  <si>
    <t>National Institute of Technology, Raipur</t>
  </si>
  <si>
    <t>Raipur</t>
  </si>
  <si>
    <t>Vel Tech Rangarajan Dr. Sagunthala R &amp; D Institute of Science and Technology</t>
  </si>
  <si>
    <t>AU College of Engineering (A)</t>
  </si>
  <si>
    <t>Visakhapatnam</t>
  </si>
  <si>
    <t>Chitkara University</t>
  </si>
  <si>
    <t>Rajpura</t>
  </si>
  <si>
    <t>COEP Technological University</t>
  </si>
  <si>
    <t>SR University</t>
  </si>
  <si>
    <t>Defence Institute of Advanced Technology</t>
  </si>
  <si>
    <t>Panjab University</t>
  </si>
  <si>
    <t>Chandigarh</t>
  </si>
  <si>
    <t>Jawaharlal Nehru Technological University</t>
  </si>
  <si>
    <t>C.V. Raman Global University, Odisha</t>
  </si>
  <si>
    <t>Atal Bihari Vajpayee Indian Institute of Information Technology and Management</t>
  </si>
  <si>
    <t>Gwalior</t>
  </si>
  <si>
    <t>National Institute of Technology Hamirpur</t>
  </si>
  <si>
    <t>Hamirpur</t>
  </si>
  <si>
    <t>Pandit Deendayal Energy University</t>
  </si>
  <si>
    <t>GandhiNagar</t>
  </si>
  <si>
    <t>National Institute of Technology Puducherry</t>
  </si>
  <si>
    <t>Karaikal</t>
  </si>
  <si>
    <t>Sri Krishna College of Engineering and Technology</t>
  </si>
  <si>
    <t>Average</t>
  </si>
  <si>
    <t>BO</t>
  </si>
  <si>
    <t>OE_2023-2024_Per_Student</t>
  </si>
  <si>
    <t>OE_2022-2023_Per_Student</t>
  </si>
  <si>
    <t>OE_2021-2022_Per_Student</t>
  </si>
  <si>
    <t>Total OE (Incl. all years)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</si>
</sst>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color theme="1"/>
      <name val="Arial"/>
    </font>
    <font>
      <sz val="11.0"/>
      <color theme="1"/>
      <name val="Arial"/>
    </font>
    <font>
      <sz val="11.0"/>
      <color rgb="FF000000"/>
      <name val="Calibri"/>
    </font>
    <font>
      <color theme="1"/>
      <name val="Arial"/>
      <scheme val="minor"/>
    </font>
    <font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shrinkToFit="0" wrapText="1"/>
    </xf>
    <xf borderId="4" fillId="2" fontId="2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vertical="center"/>
    </xf>
    <xf borderId="0" fillId="0" fontId="7" numFmtId="0" xfId="0" applyFont="1"/>
    <xf borderId="0" fillId="0" fontId="7" numFmtId="0" xfId="0" applyAlignment="1" applyFont="1">
      <alignment horizontal="left"/>
    </xf>
    <xf borderId="0" fillId="0" fontId="7" numFmtId="0" xfId="0" applyAlignment="1" applyFont="1">
      <alignment horizontal="center" vertical="center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0" fontId="6" numFmtId="0" xfId="0" applyAlignment="1" applyFont="1">
      <alignment shrinkToFit="0" wrapText="1"/>
    </xf>
    <xf borderId="0" fillId="2" fontId="1" numFmtId="0" xfId="0" applyAlignment="1" applyFont="1">
      <alignment horizontal="center" readingOrder="0" shrinkToFit="0" vertical="center" wrapText="1"/>
    </xf>
    <xf borderId="0" fillId="2" fontId="6" numFmtId="0" xfId="0" applyFont="1"/>
    <xf borderId="1" fillId="2" fontId="2" numFmtId="0" xfId="0" applyAlignment="1" applyBorder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35.25"/>
    <col customWidth="1" min="3" max="3" width="17.38"/>
    <col customWidth="1" min="4" max="4" width="15.88"/>
    <col customWidth="1" min="5" max="5" width="8.0"/>
    <col customWidth="1" min="6" max="6" width="13.5"/>
    <col customWidth="1" min="7" max="7" width="18.63"/>
    <col customWidth="1" min="8" max="8" width="19.63"/>
    <col customWidth="1" min="9" max="9" width="15.88"/>
    <col customWidth="1" min="10" max="11" width="21.0"/>
    <col customWidth="1" min="12" max="12" width="15.13"/>
    <col customWidth="1" min="13" max="13" width="20.5"/>
    <col customWidth="1" min="14" max="14" width="14.75"/>
    <col customWidth="1" min="15" max="15" width="20.5"/>
    <col customWidth="1" min="16" max="17" width="16.88"/>
    <col customWidth="1" min="18" max="18" width="19.5"/>
    <col customWidth="1" min="19" max="19" width="19.75"/>
    <col customWidth="1" min="20" max="20" width="24.5"/>
    <col customWidth="1" min="21" max="21" width="20.5"/>
    <col customWidth="1" min="22" max="22" width="17.75"/>
    <col customWidth="1" min="23" max="23" width="17.5"/>
    <col customWidth="1" min="24" max="24" width="14.25"/>
    <col customWidth="1" min="25" max="25" width="21.38"/>
    <col customWidth="1" min="26" max="27" width="17.75"/>
    <col customWidth="1" min="28" max="28" width="16.5"/>
    <col customWidth="1" min="29" max="29" width="19.5"/>
    <col customWidth="1" min="30" max="30" width="24.0"/>
    <col customWidth="1" min="31" max="31" width="21.13"/>
    <col customWidth="1" min="32" max="32" width="17.5"/>
    <col customWidth="1" min="33" max="33" width="17.75"/>
    <col customWidth="1" min="34" max="34" width="17.88"/>
    <col customWidth="1" min="35" max="36" width="20.5"/>
  </cols>
  <sheetData>
    <row r="1" ht="4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3" t="s">
        <v>35</v>
      </c>
    </row>
    <row r="2" ht="13.5" customHeight="1">
      <c r="A2" s="4">
        <v>1.0</v>
      </c>
      <c r="B2" s="5" t="s">
        <v>36</v>
      </c>
      <c r="C2" s="5" t="s">
        <v>37</v>
      </c>
      <c r="D2" s="6" t="s">
        <v>38</v>
      </c>
      <c r="E2" s="5">
        <v>2025.0</v>
      </c>
      <c r="F2" s="5">
        <v>30.0</v>
      </c>
      <c r="G2" s="7">
        <v>929.0</v>
      </c>
      <c r="H2" s="8">
        <v>2.6874654E8</v>
      </c>
      <c r="I2" s="8">
        <v>4.831269E9</v>
      </c>
      <c r="J2" s="8">
        <v>1.5221031E7</v>
      </c>
      <c r="K2" s="8">
        <v>8.06445055E8</v>
      </c>
      <c r="L2" s="8">
        <f t="shared" ref="L2:L101" si="1">SUM(H2:K2)</f>
        <v>5921681626</v>
      </c>
      <c r="M2" s="8">
        <v>6.606258824E9</v>
      </c>
      <c r="N2" s="8">
        <v>9.35258767E9</v>
      </c>
      <c r="O2" s="8">
        <v>1.1633412E8</v>
      </c>
      <c r="P2" s="8">
        <f t="shared" ref="P2:P101" si="2">SUM(M2:O2)</f>
        <v>16075180614</v>
      </c>
      <c r="Q2" s="7">
        <v>806.0</v>
      </c>
      <c r="R2" s="8">
        <v>1.66121795E8</v>
      </c>
      <c r="S2" s="8">
        <v>5.097869999E9</v>
      </c>
      <c r="T2" s="8">
        <v>3.5946386E7</v>
      </c>
      <c r="U2" s="8">
        <v>8.0341591E8</v>
      </c>
      <c r="V2" s="8">
        <f t="shared" ref="V2:V101" si="3">SUM(R2:U2)</f>
        <v>6103354090</v>
      </c>
      <c r="W2" s="8">
        <v>5.26410335E9</v>
      </c>
      <c r="X2" s="8">
        <v>8.190818672E9</v>
      </c>
      <c r="Y2" s="8">
        <v>1.51382796E8</v>
      </c>
      <c r="Z2" s="8">
        <f t="shared" ref="Z2:Z101" si="4">SUM(W2:Y2)</f>
        <v>13606304818</v>
      </c>
      <c r="AA2" s="7">
        <v>414.0</v>
      </c>
      <c r="AB2" s="8">
        <v>2.19593796E8</v>
      </c>
      <c r="AC2" s="9">
        <v>4.525906053E9</v>
      </c>
      <c r="AD2" s="8">
        <v>1.6830244E7</v>
      </c>
      <c r="AE2" s="8">
        <v>1.062045121E9</v>
      </c>
      <c r="AF2" s="10">
        <f t="shared" ref="AF2:AF101" si="5">SUM(AB2:AE2)</f>
        <v>5824375214</v>
      </c>
      <c r="AG2" s="8">
        <v>6.441607707E9</v>
      </c>
      <c r="AH2" s="8">
        <v>7.509570465E9</v>
      </c>
      <c r="AI2" s="8">
        <v>1.08033204E8</v>
      </c>
      <c r="AJ2" s="8">
        <f t="shared" ref="AJ2:AJ101" si="6">SUM(AG2:AI2)</f>
        <v>14059211376</v>
      </c>
    </row>
    <row r="3" ht="13.5" customHeight="1">
      <c r="A3" s="11">
        <v>2.0</v>
      </c>
      <c r="B3" s="12" t="s">
        <v>36</v>
      </c>
      <c r="C3" s="12" t="s">
        <v>39</v>
      </c>
      <c r="D3" s="6" t="s">
        <v>38</v>
      </c>
      <c r="E3" s="12">
        <v>2025.0</v>
      </c>
      <c r="F3" s="12">
        <v>27.72</v>
      </c>
      <c r="G3" s="7">
        <v>1071.0</v>
      </c>
      <c r="H3" s="8">
        <v>1.72854705E8</v>
      </c>
      <c r="I3" s="8">
        <v>2.563276596E9</v>
      </c>
      <c r="J3" s="8">
        <v>5271461.0</v>
      </c>
      <c r="K3" s="8">
        <v>1.27478339E8</v>
      </c>
      <c r="L3" s="8">
        <f t="shared" si="1"/>
        <v>2868881101</v>
      </c>
      <c r="M3" s="8">
        <v>7.014005469E9</v>
      </c>
      <c r="N3" s="8">
        <v>3.324411413E9</v>
      </c>
      <c r="O3" s="8">
        <v>2.04155327E8</v>
      </c>
      <c r="P3" s="8">
        <f t="shared" si="2"/>
        <v>10542572209</v>
      </c>
      <c r="Q3" s="7">
        <v>924.0</v>
      </c>
      <c r="R3" s="8">
        <v>1.71675951E8</v>
      </c>
      <c r="S3" s="8">
        <v>2.521491633E9</v>
      </c>
      <c r="T3" s="8">
        <v>2429151.0</v>
      </c>
      <c r="U3" s="8">
        <v>2.754683233E9</v>
      </c>
      <c r="V3" s="8">
        <f t="shared" si="3"/>
        <v>5450279968</v>
      </c>
      <c r="W3" s="8">
        <v>6.845479679E9</v>
      </c>
      <c r="X3" s="8">
        <v>3.79670268E9</v>
      </c>
      <c r="Y3" s="8">
        <v>1.8230242E8</v>
      </c>
      <c r="Z3" s="8">
        <f t="shared" si="4"/>
        <v>10824484779</v>
      </c>
      <c r="AA3" s="7">
        <v>790.0</v>
      </c>
      <c r="AB3" s="8">
        <v>1.83339247E8</v>
      </c>
      <c r="AC3" s="8">
        <v>2.372989697E9</v>
      </c>
      <c r="AD3" s="8">
        <v>4.4456874E7</v>
      </c>
      <c r="AE3" s="8">
        <v>1.396232731E9</v>
      </c>
      <c r="AF3" s="10">
        <f t="shared" si="5"/>
        <v>3997018549</v>
      </c>
      <c r="AG3" s="8">
        <v>3.899613736E9</v>
      </c>
      <c r="AH3" s="8">
        <v>3.659085996E9</v>
      </c>
      <c r="AI3" s="8">
        <v>2654267.0</v>
      </c>
      <c r="AJ3" s="8">
        <f t="shared" si="6"/>
        <v>7561353999</v>
      </c>
    </row>
    <row r="4" ht="13.5" customHeight="1">
      <c r="A4" s="11">
        <v>3.0</v>
      </c>
      <c r="B4" s="12" t="s">
        <v>36</v>
      </c>
      <c r="C4" s="12" t="s">
        <v>40</v>
      </c>
      <c r="D4" s="6" t="s">
        <v>38</v>
      </c>
      <c r="E4" s="12">
        <v>2025.0</v>
      </c>
      <c r="F4" s="12">
        <v>26.22</v>
      </c>
      <c r="G4" s="7">
        <v>1163.0</v>
      </c>
      <c r="H4" s="8">
        <v>1.77105628E8</v>
      </c>
      <c r="I4" s="8">
        <v>2.817100804E9</v>
      </c>
      <c r="J4" s="8">
        <v>0.0</v>
      </c>
      <c r="K4" s="8">
        <v>9.2855422E7</v>
      </c>
      <c r="L4" s="8">
        <f t="shared" si="1"/>
        <v>3087061854</v>
      </c>
      <c r="M4" s="8">
        <v>8.342255381E9</v>
      </c>
      <c r="N4" s="8">
        <v>4.638375571E9</v>
      </c>
      <c r="O4" s="8">
        <v>2.4755783E8</v>
      </c>
      <c r="P4" s="8">
        <f t="shared" si="2"/>
        <v>13228188782</v>
      </c>
      <c r="Q4" s="7">
        <v>927.0</v>
      </c>
      <c r="R4" s="8">
        <v>2.6225709E7</v>
      </c>
      <c r="S4" s="8">
        <v>3.091659479E9</v>
      </c>
      <c r="T4" s="8">
        <v>8.2044432E7</v>
      </c>
      <c r="U4" s="8">
        <v>8684226.0</v>
      </c>
      <c r="V4" s="8">
        <f t="shared" si="3"/>
        <v>3208613846</v>
      </c>
      <c r="W4" s="8">
        <v>6.396252265E9</v>
      </c>
      <c r="X4" s="8">
        <v>2.047321211E9</v>
      </c>
      <c r="Y4" s="8">
        <v>2.4835283E7</v>
      </c>
      <c r="Z4" s="8">
        <f t="shared" si="4"/>
        <v>8468408759</v>
      </c>
      <c r="AA4" s="7">
        <v>858.0</v>
      </c>
      <c r="AB4" s="8">
        <v>3.75450963E8</v>
      </c>
      <c r="AC4" s="8">
        <v>8.59086724E8</v>
      </c>
      <c r="AD4" s="8">
        <v>9.998E7</v>
      </c>
      <c r="AE4" s="8">
        <v>4039780.0</v>
      </c>
      <c r="AF4" s="10">
        <f t="shared" si="5"/>
        <v>1338557467</v>
      </c>
      <c r="AG4" s="8">
        <v>6.014661181E9</v>
      </c>
      <c r="AH4" s="8">
        <v>1.774612987E9</v>
      </c>
      <c r="AI4" s="8">
        <v>9177625.0</v>
      </c>
      <c r="AJ4" s="8">
        <f t="shared" si="6"/>
        <v>7798451793</v>
      </c>
    </row>
    <row r="5" ht="13.5" customHeight="1">
      <c r="A5" s="11">
        <v>4.0</v>
      </c>
      <c r="B5" s="12" t="s">
        <v>36</v>
      </c>
      <c r="C5" s="12" t="s">
        <v>41</v>
      </c>
      <c r="D5" s="6" t="s">
        <v>38</v>
      </c>
      <c r="E5" s="12">
        <v>2025.0</v>
      </c>
      <c r="F5" s="12">
        <v>26.55</v>
      </c>
      <c r="G5" s="7">
        <v>1157.0</v>
      </c>
      <c r="H5" s="8">
        <v>1.846E8</v>
      </c>
      <c r="I5" s="8">
        <v>1.103242E9</v>
      </c>
      <c r="J5" s="8">
        <v>1.23E8</v>
      </c>
      <c r="K5" s="8">
        <v>1.562E8</v>
      </c>
      <c r="L5" s="8">
        <f t="shared" si="1"/>
        <v>1567042000</v>
      </c>
      <c r="M5" s="8">
        <v>4.0160347E9</v>
      </c>
      <c r="N5" s="8">
        <v>5.307317E9</v>
      </c>
      <c r="O5" s="8">
        <v>5.54E7</v>
      </c>
      <c r="P5" s="8">
        <f t="shared" si="2"/>
        <v>9378751700</v>
      </c>
      <c r="Q5" s="7">
        <v>996.0</v>
      </c>
      <c r="R5" s="8">
        <v>1.839E8</v>
      </c>
      <c r="S5" s="8">
        <v>1.096116E9</v>
      </c>
      <c r="T5" s="8">
        <v>1.2014E8</v>
      </c>
      <c r="U5" s="8">
        <v>1.49393E8</v>
      </c>
      <c r="V5" s="8">
        <f t="shared" si="3"/>
        <v>1549549000</v>
      </c>
      <c r="W5" s="8">
        <v>3.474908E9</v>
      </c>
      <c r="X5" s="8">
        <v>4.63293E9</v>
      </c>
      <c r="Y5" s="8">
        <v>5.11E7</v>
      </c>
      <c r="Z5" s="8">
        <f t="shared" si="4"/>
        <v>8158938000</v>
      </c>
      <c r="AA5" s="7">
        <v>889.0</v>
      </c>
      <c r="AB5" s="8">
        <v>1.65902E8</v>
      </c>
      <c r="AC5" s="8">
        <v>6.344009E8</v>
      </c>
      <c r="AD5" s="8">
        <v>1.073185E8</v>
      </c>
      <c r="AE5" s="8">
        <v>1.371185E8</v>
      </c>
      <c r="AF5" s="10">
        <f t="shared" si="5"/>
        <v>1044739900</v>
      </c>
      <c r="AG5" s="8">
        <v>3.132324E9</v>
      </c>
      <c r="AH5" s="8">
        <v>3.931518E9</v>
      </c>
      <c r="AI5" s="8">
        <v>4.68E7</v>
      </c>
      <c r="AJ5" s="8">
        <f t="shared" si="6"/>
        <v>7110642000</v>
      </c>
    </row>
    <row r="6" ht="13.5" customHeight="1">
      <c r="A6" s="11">
        <v>5.0</v>
      </c>
      <c r="B6" s="12" t="s">
        <v>36</v>
      </c>
      <c r="C6" s="12" t="s">
        <v>42</v>
      </c>
      <c r="D6" s="6" t="s">
        <v>38</v>
      </c>
      <c r="E6" s="12">
        <v>2025.0</v>
      </c>
      <c r="F6" s="12">
        <v>22.88</v>
      </c>
      <c r="G6" s="7">
        <v>717.0</v>
      </c>
      <c r="H6" s="8">
        <v>2.28730626E8</v>
      </c>
      <c r="I6" s="8">
        <v>1.489775765E9</v>
      </c>
      <c r="J6" s="8">
        <v>0.0</v>
      </c>
      <c r="K6" s="8">
        <v>2.9239111E8</v>
      </c>
      <c r="L6" s="8">
        <f t="shared" si="1"/>
        <v>2010897501</v>
      </c>
      <c r="M6" s="8">
        <v>5.632522335E9</v>
      </c>
      <c r="N6" s="8">
        <v>4.213502304E9</v>
      </c>
      <c r="O6" s="8">
        <v>1.59130647E8</v>
      </c>
      <c r="P6" s="8">
        <f t="shared" si="2"/>
        <v>10005155286</v>
      </c>
      <c r="Q6" s="7">
        <v>607.0</v>
      </c>
      <c r="R6" s="8">
        <v>2.368521E8</v>
      </c>
      <c r="S6" s="8">
        <v>7.03133435E8</v>
      </c>
      <c r="T6" s="8">
        <v>0.0</v>
      </c>
      <c r="U6" s="8">
        <v>5.98787058E8</v>
      </c>
      <c r="V6" s="8">
        <f t="shared" si="3"/>
        <v>1538772593</v>
      </c>
      <c r="W6" s="8">
        <v>6.587670702E9</v>
      </c>
      <c r="X6" s="8">
        <v>2.29203784E9</v>
      </c>
      <c r="Y6" s="8">
        <v>6.1969857E7</v>
      </c>
      <c r="Z6" s="8">
        <f t="shared" si="4"/>
        <v>8941678399</v>
      </c>
      <c r="AA6" s="7">
        <v>496.0</v>
      </c>
      <c r="AB6" s="8">
        <v>1.7489196E8</v>
      </c>
      <c r="AC6" s="8">
        <v>5.01755239E8</v>
      </c>
      <c r="AD6" s="8">
        <v>3106781.0</v>
      </c>
      <c r="AE6" s="8">
        <v>2.0237325E8</v>
      </c>
      <c r="AF6" s="10">
        <f t="shared" si="5"/>
        <v>882127230</v>
      </c>
      <c r="AG6" s="8">
        <v>5.879812403E9</v>
      </c>
      <c r="AH6" s="8">
        <v>2.988503253E9</v>
      </c>
      <c r="AI6" s="8">
        <v>2.1661017E7</v>
      </c>
      <c r="AJ6" s="8">
        <f t="shared" si="6"/>
        <v>8889976673</v>
      </c>
    </row>
    <row r="7" ht="13.5" customHeight="1">
      <c r="A7" s="11">
        <v>6.0</v>
      </c>
      <c r="B7" s="12" t="s">
        <v>36</v>
      </c>
      <c r="C7" s="12" t="s">
        <v>43</v>
      </c>
      <c r="D7" s="6" t="s">
        <v>38</v>
      </c>
      <c r="E7" s="12">
        <v>2025.0</v>
      </c>
      <c r="F7" s="12">
        <v>21.46</v>
      </c>
      <c r="G7" s="7">
        <v>1116.0</v>
      </c>
      <c r="H7" s="8">
        <v>2.66856371E8</v>
      </c>
      <c r="I7" s="8">
        <v>1.35058204E9</v>
      </c>
      <c r="J7" s="8">
        <v>1.28418129E8</v>
      </c>
      <c r="K7" s="8">
        <v>8.62282938E8</v>
      </c>
      <c r="L7" s="8">
        <f t="shared" si="1"/>
        <v>2608139478</v>
      </c>
      <c r="M7" s="8">
        <v>4.115010448E9</v>
      </c>
      <c r="N7" s="8">
        <v>1.493166702E9</v>
      </c>
      <c r="O7" s="8">
        <v>8.6466154E7</v>
      </c>
      <c r="P7" s="8">
        <f t="shared" si="2"/>
        <v>5694643304</v>
      </c>
      <c r="Q7" s="7">
        <v>940.0</v>
      </c>
      <c r="R7" s="8">
        <v>1.44800648E8</v>
      </c>
      <c r="S7" s="8">
        <v>7.92417985E8</v>
      </c>
      <c r="T7" s="8">
        <v>1.2625688E7</v>
      </c>
      <c r="U7" s="8">
        <v>4.763696E8</v>
      </c>
      <c r="V7" s="8">
        <f t="shared" si="3"/>
        <v>1426213921</v>
      </c>
      <c r="W7" s="8">
        <v>3.712489727E9</v>
      </c>
      <c r="X7" s="8">
        <v>1.322442509E9</v>
      </c>
      <c r="Y7" s="8">
        <v>5.0353929E7</v>
      </c>
      <c r="Z7" s="8">
        <f t="shared" si="4"/>
        <v>5085286165</v>
      </c>
      <c r="AA7" s="7">
        <v>861.0</v>
      </c>
      <c r="AB7" s="8">
        <v>2.48408443E8</v>
      </c>
      <c r="AC7" s="8">
        <v>7.66703384E8</v>
      </c>
      <c r="AD7" s="8">
        <v>1.7442828E7</v>
      </c>
      <c r="AE7" s="8">
        <v>3.06487803E8</v>
      </c>
      <c r="AF7" s="10">
        <f t="shared" si="5"/>
        <v>1339042458</v>
      </c>
      <c r="AG7" s="8">
        <v>3.207132412E9</v>
      </c>
      <c r="AH7" s="8">
        <v>1.1157992E9</v>
      </c>
      <c r="AI7" s="8">
        <v>1.5625027E7</v>
      </c>
      <c r="AJ7" s="8">
        <f t="shared" si="6"/>
        <v>4338556639</v>
      </c>
    </row>
    <row r="8" ht="13.5" customHeight="1">
      <c r="A8" s="11">
        <v>7.0</v>
      </c>
      <c r="B8" s="12" t="s">
        <v>36</v>
      </c>
      <c r="C8" s="12" t="s">
        <v>44</v>
      </c>
      <c r="D8" s="6" t="s">
        <v>38</v>
      </c>
      <c r="E8" s="12">
        <v>2025.0</v>
      </c>
      <c r="F8" s="12">
        <v>25.71</v>
      </c>
      <c r="G8" s="7">
        <v>414.0</v>
      </c>
      <c r="H8" s="8">
        <v>2.8995305E7</v>
      </c>
      <c r="I8" s="8">
        <v>3.37408737E8</v>
      </c>
      <c r="J8" s="8">
        <v>0.0</v>
      </c>
      <c r="K8" s="8">
        <v>4.00422417E8</v>
      </c>
      <c r="L8" s="8">
        <f t="shared" si="1"/>
        <v>766826459</v>
      </c>
      <c r="M8" s="8">
        <v>1.450713808E9</v>
      </c>
      <c r="N8" s="8">
        <v>1.398202506E9</v>
      </c>
      <c r="O8" s="8">
        <v>6.2064882E7</v>
      </c>
      <c r="P8" s="8">
        <f t="shared" si="2"/>
        <v>2910981196</v>
      </c>
      <c r="Q8" s="7">
        <v>312.0</v>
      </c>
      <c r="R8" s="8">
        <v>5.4273351E7</v>
      </c>
      <c r="S8" s="8">
        <v>3.54297902E8</v>
      </c>
      <c r="T8" s="8">
        <v>0.0</v>
      </c>
      <c r="U8" s="8">
        <v>2.2249537E8</v>
      </c>
      <c r="V8" s="8">
        <f t="shared" si="3"/>
        <v>631066623</v>
      </c>
      <c r="W8" s="8">
        <v>2.044754274E9</v>
      </c>
      <c r="X8" s="8">
        <v>1.122709987E9</v>
      </c>
      <c r="Y8" s="8">
        <v>3.8926352E7</v>
      </c>
      <c r="Z8" s="8">
        <f t="shared" si="4"/>
        <v>3206390613</v>
      </c>
      <c r="AA8" s="7">
        <v>290.0</v>
      </c>
      <c r="AB8" s="8">
        <v>3.5657429E7</v>
      </c>
      <c r="AC8" s="8">
        <v>3.60785745E8</v>
      </c>
      <c r="AD8" s="8">
        <v>600000.0</v>
      </c>
      <c r="AE8" s="8">
        <v>1.35612446E8</v>
      </c>
      <c r="AF8" s="10">
        <f t="shared" si="5"/>
        <v>532655620</v>
      </c>
      <c r="AG8" s="8">
        <v>1.745821591E9</v>
      </c>
      <c r="AH8" s="8">
        <v>7.6464792E8</v>
      </c>
      <c r="AI8" s="8">
        <v>2433745.0</v>
      </c>
      <c r="AJ8" s="8">
        <f t="shared" si="6"/>
        <v>2512903256</v>
      </c>
    </row>
    <row r="9" ht="13.5" customHeight="1">
      <c r="A9" s="11">
        <v>8.0</v>
      </c>
      <c r="B9" s="12" t="s">
        <v>36</v>
      </c>
      <c r="C9" s="12" t="s">
        <v>45</v>
      </c>
      <c r="D9" s="6" t="s">
        <v>38</v>
      </c>
      <c r="E9" s="12">
        <v>2025.0</v>
      </c>
      <c r="F9" s="12">
        <v>18.32</v>
      </c>
      <c r="G9" s="7">
        <v>826.0</v>
      </c>
      <c r="H9" s="8">
        <v>1.35765692E8</v>
      </c>
      <c r="I9" s="8">
        <v>5.08454775E8</v>
      </c>
      <c r="J9" s="8">
        <v>2.4626782E7</v>
      </c>
      <c r="K9" s="8">
        <v>4.94657138E8</v>
      </c>
      <c r="L9" s="8">
        <f t="shared" si="1"/>
        <v>1163504387</v>
      </c>
      <c r="M9" s="8">
        <v>1.977540053E9</v>
      </c>
      <c r="N9" s="8">
        <v>1.323045038E9</v>
      </c>
      <c r="O9" s="8">
        <v>5.4514323E7</v>
      </c>
      <c r="P9" s="8">
        <f t="shared" si="2"/>
        <v>3355099414</v>
      </c>
      <c r="Q9" s="7">
        <v>826.0</v>
      </c>
      <c r="R9" s="8">
        <v>2.05193001E8</v>
      </c>
      <c r="S9" s="8">
        <v>2.35455283E8</v>
      </c>
      <c r="T9" s="8">
        <v>1.523276E7</v>
      </c>
      <c r="U9" s="8">
        <v>6.78091009E8</v>
      </c>
      <c r="V9" s="8">
        <f t="shared" si="3"/>
        <v>1133972053</v>
      </c>
      <c r="W9" s="8">
        <v>1.733706888E9</v>
      </c>
      <c r="X9" s="8">
        <v>8.16288401E8</v>
      </c>
      <c r="Y9" s="8">
        <v>7.11412E7</v>
      </c>
      <c r="Z9" s="8">
        <f t="shared" si="4"/>
        <v>2621136489</v>
      </c>
      <c r="AA9" s="7">
        <v>720.0</v>
      </c>
      <c r="AB9" s="8">
        <v>1.19461203E8</v>
      </c>
      <c r="AC9" s="8">
        <v>3.17752248E8</v>
      </c>
      <c r="AD9" s="8">
        <v>1.4081657E7</v>
      </c>
      <c r="AE9" s="8">
        <v>6.89764913E8</v>
      </c>
      <c r="AF9" s="10">
        <f t="shared" si="5"/>
        <v>1141060021</v>
      </c>
      <c r="AG9" s="8">
        <v>1.655960697E9</v>
      </c>
      <c r="AH9" s="8">
        <v>7.38569173E8</v>
      </c>
      <c r="AI9" s="8">
        <v>1.2197738E7</v>
      </c>
      <c r="AJ9" s="8">
        <f t="shared" si="6"/>
        <v>2406727608</v>
      </c>
    </row>
    <row r="10" ht="13.5" customHeight="1">
      <c r="A10" s="11">
        <v>9.0</v>
      </c>
      <c r="B10" s="12" t="s">
        <v>46</v>
      </c>
      <c r="C10" s="12" t="s">
        <v>47</v>
      </c>
      <c r="D10" s="6" t="s">
        <v>38</v>
      </c>
      <c r="E10" s="12">
        <v>2025.0</v>
      </c>
      <c r="F10" s="12">
        <v>19.73</v>
      </c>
      <c r="G10" s="7">
        <v>1081.0</v>
      </c>
      <c r="H10" s="8">
        <v>4.8246479E7</v>
      </c>
      <c r="I10" s="8">
        <v>1.20177797E8</v>
      </c>
      <c r="J10" s="8">
        <v>100000.0</v>
      </c>
      <c r="K10" s="8">
        <v>5.74093111E8</v>
      </c>
      <c r="L10" s="8">
        <f t="shared" si="1"/>
        <v>742617387</v>
      </c>
      <c r="M10" s="8">
        <v>2.290968575E9</v>
      </c>
      <c r="N10" s="8">
        <v>1.154849874E9</v>
      </c>
      <c r="O10" s="8">
        <v>9543340.0</v>
      </c>
      <c r="P10" s="8">
        <f t="shared" si="2"/>
        <v>3455361789</v>
      </c>
      <c r="Q10" s="7">
        <v>1126.0</v>
      </c>
      <c r="R10" s="8">
        <v>901170.0</v>
      </c>
      <c r="S10" s="8">
        <v>1.28400156E8</v>
      </c>
      <c r="T10" s="8">
        <v>100000.0</v>
      </c>
      <c r="U10" s="8">
        <v>3.69420501E8</v>
      </c>
      <c r="V10" s="8">
        <f t="shared" si="3"/>
        <v>498821827</v>
      </c>
      <c r="W10" s="8">
        <v>1.377511528E9</v>
      </c>
      <c r="X10" s="8">
        <v>1.115508711E9</v>
      </c>
      <c r="Y10" s="8">
        <v>4145050.0</v>
      </c>
      <c r="Z10" s="8">
        <f t="shared" si="4"/>
        <v>2497165289</v>
      </c>
      <c r="AA10" s="7">
        <v>891.0</v>
      </c>
      <c r="AB10" s="8">
        <v>2634509.0</v>
      </c>
      <c r="AC10" s="8">
        <v>3.01048112E8</v>
      </c>
      <c r="AD10" s="8">
        <v>500000.0</v>
      </c>
      <c r="AE10" s="8">
        <v>3.95519048E8</v>
      </c>
      <c r="AF10" s="10">
        <f t="shared" si="5"/>
        <v>699701669</v>
      </c>
      <c r="AG10" s="8">
        <v>1.389753614E9</v>
      </c>
      <c r="AH10" s="8">
        <v>9.40335091E8</v>
      </c>
      <c r="AI10" s="8">
        <v>1.0396829E7</v>
      </c>
      <c r="AJ10" s="8">
        <f t="shared" si="6"/>
        <v>2340485534</v>
      </c>
    </row>
    <row r="11" ht="13.5" customHeight="1">
      <c r="A11" s="11">
        <v>10.0</v>
      </c>
      <c r="B11" s="12" t="s">
        <v>48</v>
      </c>
      <c r="C11" s="12" t="s">
        <v>49</v>
      </c>
      <c r="D11" s="6" t="s">
        <v>38</v>
      </c>
      <c r="E11" s="12">
        <v>2025.0</v>
      </c>
      <c r="F11" s="12">
        <v>17.56</v>
      </c>
      <c r="G11" s="7">
        <v>1113.0</v>
      </c>
      <c r="H11" s="8">
        <v>3.3059889E7</v>
      </c>
      <c r="I11" s="8">
        <v>5.19202989E8</v>
      </c>
      <c r="J11" s="8">
        <v>1.2639361E7</v>
      </c>
      <c r="K11" s="8">
        <v>9.9874512E7</v>
      </c>
      <c r="L11" s="8">
        <f t="shared" si="1"/>
        <v>664776751</v>
      </c>
      <c r="M11" s="8">
        <v>2.190139688E9</v>
      </c>
      <c r="N11" s="8">
        <v>1.53762712E9</v>
      </c>
      <c r="O11" s="8">
        <v>4.242144E7</v>
      </c>
      <c r="P11" s="8">
        <f t="shared" si="2"/>
        <v>3770188248</v>
      </c>
      <c r="Q11" s="7">
        <v>965.0</v>
      </c>
      <c r="R11" s="8">
        <v>9.0573233E7</v>
      </c>
      <c r="S11" s="8">
        <v>3.01637795E8</v>
      </c>
      <c r="T11" s="8">
        <v>1.5429016E7</v>
      </c>
      <c r="U11" s="8">
        <v>1.51940732E8</v>
      </c>
      <c r="V11" s="8">
        <f t="shared" si="3"/>
        <v>559580776</v>
      </c>
      <c r="W11" s="8">
        <v>2.087636535E9</v>
      </c>
      <c r="X11" s="8">
        <v>1.636481738E9</v>
      </c>
      <c r="Y11" s="8">
        <v>2.3570324E7</v>
      </c>
      <c r="Z11" s="8">
        <f t="shared" si="4"/>
        <v>3747688597</v>
      </c>
      <c r="AA11" s="7">
        <v>803.0</v>
      </c>
      <c r="AB11" s="8">
        <v>8.3885967E7</v>
      </c>
      <c r="AC11" s="8">
        <v>1.47678327E8</v>
      </c>
      <c r="AD11" s="8">
        <v>2.6504291E7</v>
      </c>
      <c r="AE11" s="8">
        <v>8.2909537E7</v>
      </c>
      <c r="AF11" s="10">
        <f t="shared" si="5"/>
        <v>340978122</v>
      </c>
      <c r="AG11" s="8">
        <v>1.727284473E9</v>
      </c>
      <c r="AH11" s="8">
        <v>1.337987687E9</v>
      </c>
      <c r="AI11" s="8">
        <v>6624328.0</v>
      </c>
      <c r="AJ11" s="8">
        <f t="shared" si="6"/>
        <v>3071896488</v>
      </c>
    </row>
    <row r="12" ht="13.5" customHeight="1">
      <c r="A12" s="11">
        <v>11.0</v>
      </c>
      <c r="B12" s="12" t="s">
        <v>50</v>
      </c>
      <c r="C12" s="12" t="s">
        <v>51</v>
      </c>
      <c r="D12" s="6" t="s">
        <v>52</v>
      </c>
      <c r="E12" s="12">
        <v>2025.0</v>
      </c>
      <c r="F12" s="12">
        <v>18.4</v>
      </c>
      <c r="G12" s="7">
        <v>2806.0</v>
      </c>
      <c r="H12" s="8">
        <v>1.52689864E8</v>
      </c>
      <c r="I12" s="8">
        <v>1.165650385E9</v>
      </c>
      <c r="J12" s="8">
        <v>1.32697E7</v>
      </c>
      <c r="K12" s="8">
        <v>3.66113895E8</v>
      </c>
      <c r="L12" s="8">
        <f t="shared" si="1"/>
        <v>1697723844</v>
      </c>
      <c r="M12" s="8">
        <v>3.725161835E9</v>
      </c>
      <c r="N12" s="8">
        <v>3.426103337E9</v>
      </c>
      <c r="O12" s="8">
        <v>4.0912932E7</v>
      </c>
      <c r="P12" s="8">
        <f t="shared" si="2"/>
        <v>7192178104</v>
      </c>
      <c r="Q12" s="7">
        <v>2831.0</v>
      </c>
      <c r="R12" s="8">
        <v>9936992.0</v>
      </c>
      <c r="S12" s="8">
        <v>5.55363054E8</v>
      </c>
      <c r="T12" s="8">
        <v>2.3591679E7</v>
      </c>
      <c r="U12" s="8">
        <v>1.28863803E8</v>
      </c>
      <c r="V12" s="8">
        <f t="shared" si="3"/>
        <v>717755528</v>
      </c>
      <c r="W12" s="8">
        <v>3.165020733E9</v>
      </c>
      <c r="X12" s="8">
        <v>2.748281657E9</v>
      </c>
      <c r="Y12" s="8">
        <v>1.4400859E7</v>
      </c>
      <c r="Z12" s="8">
        <f t="shared" si="4"/>
        <v>5927703249</v>
      </c>
      <c r="AA12" s="7">
        <v>2779.0</v>
      </c>
      <c r="AB12" s="8">
        <v>9.0116457E7</v>
      </c>
      <c r="AC12" s="8">
        <v>3.03952781E8</v>
      </c>
      <c r="AD12" s="8">
        <v>2.7492623E7</v>
      </c>
      <c r="AE12" s="8">
        <v>1.57127208E8</v>
      </c>
      <c r="AF12" s="10">
        <f t="shared" si="5"/>
        <v>578689069</v>
      </c>
      <c r="AG12" s="8">
        <v>2.41567912E9</v>
      </c>
      <c r="AH12" s="8">
        <v>1.062120142E9</v>
      </c>
      <c r="AI12" s="8">
        <v>1102634.0</v>
      </c>
      <c r="AJ12" s="8">
        <f t="shared" si="6"/>
        <v>3478901896</v>
      </c>
    </row>
    <row r="13" ht="13.5" customHeight="1">
      <c r="A13" s="11">
        <v>12.0</v>
      </c>
      <c r="B13" s="12" t="s">
        <v>36</v>
      </c>
      <c r="C13" s="12" t="s">
        <v>53</v>
      </c>
      <c r="D13" s="6" t="s">
        <v>38</v>
      </c>
      <c r="E13" s="12">
        <v>2025.0</v>
      </c>
      <c r="F13" s="12">
        <v>20.19</v>
      </c>
      <c r="G13" s="7">
        <v>350.0</v>
      </c>
      <c r="H13" s="8">
        <v>5.5235239E7</v>
      </c>
      <c r="I13" s="8">
        <v>1.77000729E8</v>
      </c>
      <c r="J13" s="8">
        <v>3.634959E7</v>
      </c>
      <c r="K13" s="8">
        <v>5.7909848E7</v>
      </c>
      <c r="L13" s="8">
        <f t="shared" si="1"/>
        <v>326495406</v>
      </c>
      <c r="M13" s="8">
        <v>8.22579933E8</v>
      </c>
      <c r="N13" s="8">
        <v>7.24344355E8</v>
      </c>
      <c r="O13" s="8">
        <v>3.0840722E7</v>
      </c>
      <c r="P13" s="8">
        <f t="shared" si="2"/>
        <v>1577765010</v>
      </c>
      <c r="Q13" s="7">
        <v>283.0</v>
      </c>
      <c r="R13" s="8">
        <v>4.7193543E7</v>
      </c>
      <c r="S13" s="8">
        <v>2.59181099E8</v>
      </c>
      <c r="T13" s="8">
        <v>1202619.0</v>
      </c>
      <c r="U13" s="8">
        <v>9.1974617E7</v>
      </c>
      <c r="V13" s="8">
        <f t="shared" si="3"/>
        <v>399551878</v>
      </c>
      <c r="W13" s="8">
        <v>6.67850076E8</v>
      </c>
      <c r="X13" s="8">
        <v>5.69258068E8</v>
      </c>
      <c r="Y13" s="8">
        <v>2.45352E7</v>
      </c>
      <c r="Z13" s="8">
        <f t="shared" si="4"/>
        <v>1261643344</v>
      </c>
      <c r="AA13" s="7">
        <v>264.0</v>
      </c>
      <c r="AB13" s="8">
        <v>3.3385164E7</v>
      </c>
      <c r="AC13" s="8">
        <v>1.12076792E8</v>
      </c>
      <c r="AD13" s="8">
        <v>0.0</v>
      </c>
      <c r="AE13" s="8">
        <v>5.4747127E7</v>
      </c>
      <c r="AF13" s="10">
        <f t="shared" si="5"/>
        <v>200209083</v>
      </c>
      <c r="AG13" s="8">
        <v>5.58261242E8</v>
      </c>
      <c r="AH13" s="8">
        <v>4.39197669E8</v>
      </c>
      <c r="AI13" s="8">
        <v>8881716.0</v>
      </c>
      <c r="AJ13" s="8">
        <f t="shared" si="6"/>
        <v>1006340627</v>
      </c>
    </row>
    <row r="14" ht="13.5" customHeight="1">
      <c r="A14" s="11">
        <v>13.0</v>
      </c>
      <c r="B14" s="12" t="s">
        <v>46</v>
      </c>
      <c r="C14" s="12" t="s">
        <v>54</v>
      </c>
      <c r="D14" s="6" t="s">
        <v>38</v>
      </c>
      <c r="E14" s="12">
        <v>2025.0</v>
      </c>
      <c r="F14" s="12">
        <v>17.74</v>
      </c>
      <c r="G14" s="7">
        <v>1131.0</v>
      </c>
      <c r="H14" s="8">
        <v>3.2045464E7</v>
      </c>
      <c r="I14" s="8">
        <v>8.1207466E7</v>
      </c>
      <c r="J14" s="8">
        <v>9887425.0</v>
      </c>
      <c r="K14" s="8">
        <v>2.74355379E8</v>
      </c>
      <c r="L14" s="8">
        <f t="shared" si="1"/>
        <v>397495734</v>
      </c>
      <c r="M14" s="8">
        <v>1.394971217E9</v>
      </c>
      <c r="N14" s="8">
        <v>1.51789571E9</v>
      </c>
      <c r="O14" s="8">
        <v>3.7382657E7</v>
      </c>
      <c r="P14" s="8">
        <f t="shared" si="2"/>
        <v>2950249584</v>
      </c>
      <c r="Q14" s="7">
        <v>1007.0</v>
      </c>
      <c r="R14" s="8">
        <v>3.9567888E7</v>
      </c>
      <c r="S14" s="8">
        <v>1.20588734E8</v>
      </c>
      <c r="T14" s="8">
        <v>2315423.0</v>
      </c>
      <c r="U14" s="8">
        <v>9.7512692E7</v>
      </c>
      <c r="V14" s="8">
        <f t="shared" si="3"/>
        <v>259984737</v>
      </c>
      <c r="W14" s="8">
        <v>1.181712095E9</v>
      </c>
      <c r="X14" s="8">
        <v>1.287896551E9</v>
      </c>
      <c r="Y14" s="8">
        <v>9.5498663E7</v>
      </c>
      <c r="Z14" s="8">
        <f t="shared" si="4"/>
        <v>2565107309</v>
      </c>
      <c r="AA14" s="7">
        <v>823.0</v>
      </c>
      <c r="AB14" s="8">
        <v>2.0657104E7</v>
      </c>
      <c r="AC14" s="8">
        <v>1.09660339E8</v>
      </c>
      <c r="AD14" s="8">
        <v>4.0950683E7</v>
      </c>
      <c r="AE14" s="8">
        <v>1.8784516E7</v>
      </c>
      <c r="AF14" s="10">
        <f t="shared" si="5"/>
        <v>190052642</v>
      </c>
      <c r="AG14" s="8">
        <v>1.093638806E9</v>
      </c>
      <c r="AH14" s="8">
        <v>9.98922761E8</v>
      </c>
      <c r="AI14" s="8">
        <v>2.5776304E7</v>
      </c>
      <c r="AJ14" s="8">
        <f t="shared" si="6"/>
        <v>2118337871</v>
      </c>
    </row>
    <row r="15" ht="13.5" customHeight="1">
      <c r="A15" s="11">
        <v>14.0</v>
      </c>
      <c r="B15" s="12" t="s">
        <v>55</v>
      </c>
      <c r="C15" s="12" t="s">
        <v>37</v>
      </c>
      <c r="D15" s="6" t="s">
        <v>52</v>
      </c>
      <c r="E15" s="12">
        <v>2025.0</v>
      </c>
      <c r="F15" s="12">
        <v>13.48</v>
      </c>
      <c r="G15" s="7">
        <v>4632.0</v>
      </c>
      <c r="H15" s="8">
        <v>1.65217117E8</v>
      </c>
      <c r="I15" s="8">
        <v>6.46091459E8</v>
      </c>
      <c r="J15" s="8">
        <v>0.0</v>
      </c>
      <c r="K15" s="8">
        <v>1.55516577E8</v>
      </c>
      <c r="L15" s="8">
        <f t="shared" si="1"/>
        <v>966825153</v>
      </c>
      <c r="M15" s="8">
        <v>3.680311171E9</v>
      </c>
      <c r="N15" s="8">
        <v>3.257106755E9</v>
      </c>
      <c r="O15" s="8">
        <v>2.1368221E7</v>
      </c>
      <c r="P15" s="8">
        <f t="shared" si="2"/>
        <v>6958786147</v>
      </c>
      <c r="Q15" s="7">
        <v>4377.0</v>
      </c>
      <c r="R15" s="8">
        <v>1.33745713E8</v>
      </c>
      <c r="S15" s="8">
        <v>5.23020643E8</v>
      </c>
      <c r="T15" s="4">
        <v>1.27226147E8</v>
      </c>
      <c r="U15" s="8">
        <v>1.25892982E8</v>
      </c>
      <c r="V15" s="8">
        <f t="shared" si="3"/>
        <v>909885485</v>
      </c>
      <c r="W15" s="8">
        <v>3.222121074E9</v>
      </c>
      <c r="X15" s="8">
        <v>2.895721104E9</v>
      </c>
      <c r="Y15" s="8">
        <v>1.7297893E7</v>
      </c>
      <c r="Z15" s="8">
        <f t="shared" si="4"/>
        <v>6135140071</v>
      </c>
      <c r="AA15" s="7">
        <v>4441.0</v>
      </c>
      <c r="AB15" s="8">
        <v>1.21587012E8</v>
      </c>
      <c r="AC15" s="8">
        <v>4.75473312E8</v>
      </c>
      <c r="AD15" s="8">
        <v>1.15660134E8</v>
      </c>
      <c r="AE15" s="8">
        <v>1.14448165E8</v>
      </c>
      <c r="AF15" s="10">
        <f t="shared" si="5"/>
        <v>827168623</v>
      </c>
      <c r="AG15" s="8">
        <v>2.876893816E9</v>
      </c>
      <c r="AH15" s="8">
        <v>2.526139385E9</v>
      </c>
      <c r="AI15" s="8">
        <v>1.897921E7</v>
      </c>
      <c r="AJ15" s="8">
        <f t="shared" si="6"/>
        <v>5422012411</v>
      </c>
    </row>
    <row r="16" ht="13.5" customHeight="1">
      <c r="A16" s="11">
        <v>15.0</v>
      </c>
      <c r="B16" s="12" t="s">
        <v>56</v>
      </c>
      <c r="C16" s="12" t="s">
        <v>57</v>
      </c>
      <c r="D16" s="6" t="s">
        <v>38</v>
      </c>
      <c r="E16" s="12">
        <v>2025.0</v>
      </c>
      <c r="F16" s="12">
        <v>18.2</v>
      </c>
      <c r="G16" s="7">
        <v>927.0</v>
      </c>
      <c r="H16" s="8">
        <v>8.69003E7</v>
      </c>
      <c r="I16" s="8">
        <v>2.0321219E8</v>
      </c>
      <c r="J16" s="8">
        <v>3705514.0</v>
      </c>
      <c r="K16" s="8">
        <v>1.33980866E8</v>
      </c>
      <c r="L16" s="8">
        <f t="shared" si="1"/>
        <v>427798870</v>
      </c>
      <c r="M16" s="8">
        <v>1.980321612E9</v>
      </c>
      <c r="N16" s="8">
        <v>1.531827189E9</v>
      </c>
      <c r="O16" s="8">
        <v>3.3203365E7</v>
      </c>
      <c r="P16" s="8">
        <f t="shared" si="2"/>
        <v>3545352166</v>
      </c>
      <c r="Q16" s="7">
        <v>836.0</v>
      </c>
      <c r="R16" s="8">
        <v>7.9785921E7</v>
      </c>
      <c r="S16" s="8">
        <v>4.23338548E8</v>
      </c>
      <c r="T16" s="8">
        <v>1243910.0</v>
      </c>
      <c r="U16" s="8">
        <v>9.7273747E7</v>
      </c>
      <c r="V16" s="8">
        <f t="shared" si="3"/>
        <v>601642126</v>
      </c>
      <c r="W16" s="8">
        <v>1.710510938E9</v>
      </c>
      <c r="X16" s="8">
        <v>9.42376807E8</v>
      </c>
      <c r="Y16" s="8">
        <v>2.0185709E7</v>
      </c>
      <c r="Z16" s="8">
        <f t="shared" si="4"/>
        <v>2673073454</v>
      </c>
      <c r="AA16" s="7">
        <v>853.0</v>
      </c>
      <c r="AB16" s="8">
        <v>1.08122599E8</v>
      </c>
      <c r="AC16" s="8">
        <v>3.0614211E8</v>
      </c>
      <c r="AD16" s="8">
        <v>189722.0</v>
      </c>
      <c r="AE16" s="8">
        <v>1.38188357E8</v>
      </c>
      <c r="AF16" s="10">
        <f t="shared" si="5"/>
        <v>552642788</v>
      </c>
      <c r="AG16" s="8">
        <v>1.535808218E9</v>
      </c>
      <c r="AH16" s="8">
        <v>8.90268162E8</v>
      </c>
      <c r="AI16" s="8">
        <v>9972172.0</v>
      </c>
      <c r="AJ16" s="8">
        <f t="shared" si="6"/>
        <v>2436048552</v>
      </c>
    </row>
    <row r="17" ht="13.5" customHeight="1">
      <c r="A17" s="11">
        <v>16.0</v>
      </c>
      <c r="B17" s="12" t="s">
        <v>58</v>
      </c>
      <c r="C17" s="12" t="s">
        <v>59</v>
      </c>
      <c r="D17" s="6" t="s">
        <v>52</v>
      </c>
      <c r="E17" s="12">
        <v>2025.0</v>
      </c>
      <c r="F17" s="12">
        <v>10.2</v>
      </c>
      <c r="G17" s="7">
        <v>6194.0</v>
      </c>
      <c r="H17" s="8">
        <v>1.04893369E8</v>
      </c>
      <c r="I17" s="8">
        <v>6.59556045E8</v>
      </c>
      <c r="J17" s="8">
        <v>8628067.0</v>
      </c>
      <c r="K17" s="8">
        <v>8.2482157E8</v>
      </c>
      <c r="L17" s="8">
        <f t="shared" si="1"/>
        <v>1597899051</v>
      </c>
      <c r="M17" s="8">
        <v>5.907198672E9</v>
      </c>
      <c r="N17" s="8">
        <v>2.35736149E9</v>
      </c>
      <c r="O17" s="8">
        <v>7715276.0</v>
      </c>
      <c r="P17" s="8">
        <f t="shared" si="2"/>
        <v>8272275438</v>
      </c>
      <c r="Q17" s="7">
        <v>7404.0</v>
      </c>
      <c r="R17" s="8">
        <v>9.4234387E7</v>
      </c>
      <c r="S17" s="8">
        <v>4.12190251E8</v>
      </c>
      <c r="T17" s="8">
        <v>3320766.0</v>
      </c>
      <c r="U17" s="8">
        <v>5.84456945E8</v>
      </c>
      <c r="V17" s="8">
        <f t="shared" si="3"/>
        <v>1094202349</v>
      </c>
      <c r="W17" s="8">
        <v>4.873132813E9</v>
      </c>
      <c r="X17" s="8">
        <v>1.392336862E9</v>
      </c>
      <c r="Y17" s="8">
        <v>7298541.0</v>
      </c>
      <c r="Z17" s="8">
        <f t="shared" si="4"/>
        <v>6272768216</v>
      </c>
      <c r="AA17" s="7">
        <v>6435.0</v>
      </c>
      <c r="AB17" s="8">
        <v>4271984.0</v>
      </c>
      <c r="AC17" s="8">
        <v>1.52746414E8</v>
      </c>
      <c r="AD17" s="8">
        <v>3942784.0</v>
      </c>
      <c r="AE17" s="8">
        <v>4.18975781E8</v>
      </c>
      <c r="AF17" s="10">
        <f t="shared" si="5"/>
        <v>579936963</v>
      </c>
      <c r="AG17" s="8">
        <v>4.102448117E9</v>
      </c>
      <c r="AH17" s="8">
        <v>1.102119354E9</v>
      </c>
      <c r="AI17" s="8">
        <v>3781213.0</v>
      </c>
      <c r="AJ17" s="8">
        <f t="shared" si="6"/>
        <v>5208348684</v>
      </c>
    </row>
    <row r="18" ht="13.5" customHeight="1">
      <c r="A18" s="11">
        <v>17.0</v>
      </c>
      <c r="B18" s="12" t="s">
        <v>60</v>
      </c>
      <c r="C18" s="12" t="s">
        <v>61</v>
      </c>
      <c r="D18" s="6" t="s">
        <v>38</v>
      </c>
      <c r="E18" s="12">
        <v>2025.0</v>
      </c>
      <c r="F18" s="12">
        <v>24.24</v>
      </c>
      <c r="G18" s="7">
        <v>1063.0</v>
      </c>
      <c r="H18" s="8">
        <v>6.2311577E7</v>
      </c>
      <c r="I18" s="8">
        <v>4.52001358E8</v>
      </c>
      <c r="J18" s="8">
        <v>5.7511059E7</v>
      </c>
      <c r="K18" s="8">
        <v>1.03978922E9</v>
      </c>
      <c r="L18" s="8">
        <f t="shared" si="1"/>
        <v>1611613214</v>
      </c>
      <c r="M18" s="8">
        <v>1.458058274E9</v>
      </c>
      <c r="N18" s="8">
        <v>1.796968475E9</v>
      </c>
      <c r="O18" s="8">
        <v>9810600.0</v>
      </c>
      <c r="P18" s="8">
        <f t="shared" si="2"/>
        <v>3264837349</v>
      </c>
      <c r="Q18" s="7">
        <v>957.0</v>
      </c>
      <c r="R18" s="8">
        <v>6.0292768E7</v>
      </c>
      <c r="S18" s="8">
        <v>1.078378262E9</v>
      </c>
      <c r="T18" s="8">
        <v>9.1327111E7</v>
      </c>
      <c r="U18" s="8">
        <v>8.33963984E8</v>
      </c>
      <c r="V18" s="8">
        <f t="shared" si="3"/>
        <v>2063962125</v>
      </c>
      <c r="W18" s="8">
        <v>1.341309464E9</v>
      </c>
      <c r="X18" s="8">
        <v>1.364427692E9</v>
      </c>
      <c r="Y18" s="8">
        <v>449654.0</v>
      </c>
      <c r="Z18" s="8">
        <f t="shared" si="4"/>
        <v>2706186810</v>
      </c>
      <c r="AA18" s="7">
        <v>881.0</v>
      </c>
      <c r="AB18" s="8">
        <v>5.6502054E7</v>
      </c>
      <c r="AC18" s="8">
        <v>6.45588899E8</v>
      </c>
      <c r="AD18" s="8">
        <v>1.759523E7</v>
      </c>
      <c r="AE18" s="8">
        <v>6.03768043E8</v>
      </c>
      <c r="AF18" s="10">
        <f t="shared" si="5"/>
        <v>1323454226</v>
      </c>
      <c r="AG18" s="8">
        <v>1.21905719E9</v>
      </c>
      <c r="AH18" s="8">
        <v>1.391304458E9</v>
      </c>
      <c r="AI18" s="8">
        <v>3009463.0</v>
      </c>
      <c r="AJ18" s="8">
        <f t="shared" si="6"/>
        <v>2613371111</v>
      </c>
    </row>
    <row r="19" ht="13.5" customHeight="1">
      <c r="A19" s="11">
        <v>18.0</v>
      </c>
      <c r="B19" s="12" t="s">
        <v>62</v>
      </c>
      <c r="C19" s="12" t="s">
        <v>63</v>
      </c>
      <c r="D19" s="6" t="s">
        <v>2</v>
      </c>
      <c r="E19" s="12">
        <v>2025.0</v>
      </c>
      <c r="F19" s="12">
        <v>13.97</v>
      </c>
      <c r="G19" s="7">
        <v>1025.0</v>
      </c>
      <c r="H19" s="8">
        <v>8.1679959E7</v>
      </c>
      <c r="I19" s="8">
        <v>6.646593E7</v>
      </c>
      <c r="J19" s="8">
        <v>768636.0</v>
      </c>
      <c r="K19" s="8">
        <v>1.9443712E7</v>
      </c>
      <c r="L19" s="8">
        <f t="shared" si="1"/>
        <v>168358237</v>
      </c>
      <c r="M19" s="8">
        <v>1.18639233E9</v>
      </c>
      <c r="N19" s="8">
        <v>9.58482021E8</v>
      </c>
      <c r="O19" s="8">
        <v>2.2897438E7</v>
      </c>
      <c r="P19" s="8">
        <f t="shared" si="2"/>
        <v>2167771789</v>
      </c>
      <c r="Q19" s="7">
        <v>1172.0</v>
      </c>
      <c r="R19" s="8">
        <v>4.6731403E7</v>
      </c>
      <c r="S19" s="8">
        <v>5.0965101E7</v>
      </c>
      <c r="T19" s="8">
        <v>513451.0</v>
      </c>
      <c r="U19" s="8">
        <v>1.1865375E7</v>
      </c>
      <c r="V19" s="8">
        <f t="shared" si="3"/>
        <v>110075330</v>
      </c>
      <c r="W19" s="8">
        <v>1.179256961E9</v>
      </c>
      <c r="X19" s="8">
        <v>9.31981079E8</v>
      </c>
      <c r="Y19" s="8">
        <v>6497585.0</v>
      </c>
      <c r="Z19" s="8">
        <f t="shared" si="4"/>
        <v>2117735625</v>
      </c>
      <c r="AA19" s="7">
        <v>1173.0</v>
      </c>
      <c r="AB19" s="8">
        <v>6.0474836E7</v>
      </c>
      <c r="AC19" s="8">
        <v>3.8716259E7</v>
      </c>
      <c r="AD19" s="8">
        <v>323483.0</v>
      </c>
      <c r="AE19" s="8">
        <v>5142626.0</v>
      </c>
      <c r="AF19" s="10">
        <f t="shared" si="5"/>
        <v>104657204</v>
      </c>
      <c r="AG19" s="8">
        <v>1.158946874E9</v>
      </c>
      <c r="AH19" s="8">
        <v>7.05183857E8</v>
      </c>
      <c r="AI19" s="8">
        <v>8329818.0</v>
      </c>
      <c r="AJ19" s="8">
        <f t="shared" si="6"/>
        <v>1872460549</v>
      </c>
    </row>
    <row r="20" ht="13.5" customHeight="1">
      <c r="A20" s="11">
        <v>19.0</v>
      </c>
      <c r="B20" s="12" t="s">
        <v>36</v>
      </c>
      <c r="C20" s="12" t="s">
        <v>64</v>
      </c>
      <c r="D20" s="6" t="s">
        <v>38</v>
      </c>
      <c r="E20" s="12">
        <v>2025.0</v>
      </c>
      <c r="F20" s="12">
        <v>20.2</v>
      </c>
      <c r="G20" s="7">
        <v>394.0</v>
      </c>
      <c r="H20" s="8">
        <v>1.2160565E8</v>
      </c>
      <c r="I20" s="8">
        <v>3.37272917E8</v>
      </c>
      <c r="J20" s="8">
        <v>2.1676092E7</v>
      </c>
      <c r="K20" s="8">
        <v>1.24005462E8</v>
      </c>
      <c r="L20" s="8">
        <f t="shared" si="1"/>
        <v>604560121</v>
      </c>
      <c r="M20" s="8">
        <v>6.62210115E8</v>
      </c>
      <c r="N20" s="8">
        <v>7.76352724E8</v>
      </c>
      <c r="O20" s="8">
        <v>3.8997493E7</v>
      </c>
      <c r="P20" s="8">
        <f t="shared" si="2"/>
        <v>1477560332</v>
      </c>
      <c r="Q20" s="7">
        <v>335.0</v>
      </c>
      <c r="R20" s="8">
        <v>1.26432017E8</v>
      </c>
      <c r="S20" s="8">
        <v>7.13805099E8</v>
      </c>
      <c r="T20" s="8">
        <v>1.7430742E7</v>
      </c>
      <c r="U20" s="8">
        <v>1.23539258E8</v>
      </c>
      <c r="V20" s="8">
        <f t="shared" si="3"/>
        <v>981207116</v>
      </c>
      <c r="W20" s="8">
        <v>5.62171509E8</v>
      </c>
      <c r="X20" s="8">
        <v>5.73194133E8</v>
      </c>
      <c r="Y20" s="8">
        <v>2.0723857E7</v>
      </c>
      <c r="Z20" s="8">
        <f t="shared" si="4"/>
        <v>1156089499</v>
      </c>
      <c r="AA20" s="7">
        <v>244.0</v>
      </c>
      <c r="AB20" s="8">
        <v>9.675661E7</v>
      </c>
      <c r="AC20" s="8">
        <v>3.29329209E8</v>
      </c>
      <c r="AD20" s="8">
        <v>1.0872944E7</v>
      </c>
      <c r="AE20" s="8">
        <v>8.9163954E7</v>
      </c>
      <c r="AF20" s="10">
        <f t="shared" si="5"/>
        <v>526122717</v>
      </c>
      <c r="AG20" s="8">
        <v>4.66680578E8</v>
      </c>
      <c r="AH20" s="8">
        <v>4.72562854E8</v>
      </c>
      <c r="AI20" s="8">
        <v>1.4033011E7</v>
      </c>
      <c r="AJ20" s="8">
        <f t="shared" si="6"/>
        <v>953276443</v>
      </c>
    </row>
    <row r="21" ht="13.5" customHeight="1">
      <c r="A21" s="11">
        <v>20.0</v>
      </c>
      <c r="B21" s="12" t="s">
        <v>65</v>
      </c>
      <c r="C21" s="12" t="s">
        <v>37</v>
      </c>
      <c r="D21" s="6" t="s">
        <v>2</v>
      </c>
      <c r="E21" s="12">
        <v>2025.0</v>
      </c>
      <c r="F21" s="12">
        <v>12.8</v>
      </c>
      <c r="G21" s="7">
        <v>1734.0</v>
      </c>
      <c r="H21" s="8">
        <v>9336427.0</v>
      </c>
      <c r="I21" s="8">
        <v>3.02135061E8</v>
      </c>
      <c r="J21" s="8">
        <v>2624920.0</v>
      </c>
      <c r="K21" s="8">
        <v>1.8345223E7</v>
      </c>
      <c r="L21" s="8">
        <f t="shared" si="1"/>
        <v>332441631</v>
      </c>
      <c r="M21" s="8">
        <v>3.173383106E9</v>
      </c>
      <c r="N21" s="8">
        <v>5.5872472E8</v>
      </c>
      <c r="O21" s="8">
        <v>3.455863E7</v>
      </c>
      <c r="P21" s="8">
        <f t="shared" si="2"/>
        <v>3766666456</v>
      </c>
      <c r="Q21" s="7">
        <v>2268.0</v>
      </c>
      <c r="R21" s="8">
        <v>3.9965888E7</v>
      </c>
      <c r="S21" s="8">
        <v>1.88876533E8</v>
      </c>
      <c r="T21" s="8">
        <v>4330583.0</v>
      </c>
      <c r="U21" s="8">
        <v>2.6078907E7</v>
      </c>
      <c r="V21" s="8">
        <f t="shared" si="3"/>
        <v>259251911</v>
      </c>
      <c r="W21" s="8">
        <v>2.853192994E9</v>
      </c>
      <c r="X21" s="8">
        <v>6.87243463E8</v>
      </c>
      <c r="Y21" s="8">
        <v>1.8312596E7</v>
      </c>
      <c r="Z21" s="8">
        <f t="shared" si="4"/>
        <v>3558749053</v>
      </c>
      <c r="AA21" s="7">
        <v>2878.0</v>
      </c>
      <c r="AB21" s="8">
        <v>3.8198248E7</v>
      </c>
      <c r="AC21" s="8">
        <v>2.51514796E8</v>
      </c>
      <c r="AD21" s="8">
        <v>1977165.0</v>
      </c>
      <c r="AE21" s="8">
        <v>1.318509E7</v>
      </c>
      <c r="AF21" s="10">
        <f t="shared" si="5"/>
        <v>304875299</v>
      </c>
      <c r="AG21" s="8">
        <v>2.522026452E9</v>
      </c>
      <c r="AH21" s="8">
        <v>3.66998019E8</v>
      </c>
      <c r="AI21" s="8">
        <v>1.3709721E7</v>
      </c>
      <c r="AJ21" s="8">
        <f t="shared" si="6"/>
        <v>2902734192</v>
      </c>
    </row>
    <row r="22" ht="13.5" customHeight="1">
      <c r="A22" s="11">
        <v>21.0</v>
      </c>
      <c r="B22" s="12" t="s">
        <v>66</v>
      </c>
      <c r="C22" s="12" t="s">
        <v>67</v>
      </c>
      <c r="D22" s="6" t="s">
        <v>38</v>
      </c>
      <c r="E22" s="12">
        <v>2025.0</v>
      </c>
      <c r="F22" s="12">
        <v>18.89</v>
      </c>
      <c r="G22" s="7">
        <v>920.0</v>
      </c>
      <c r="H22" s="8">
        <v>6.3570605E7</v>
      </c>
      <c r="I22" s="8">
        <v>3.36669641E8</v>
      </c>
      <c r="J22" s="8">
        <v>2.1845275E7</v>
      </c>
      <c r="K22" s="8">
        <v>3.51762529E8</v>
      </c>
      <c r="L22" s="8">
        <f t="shared" si="1"/>
        <v>773848050</v>
      </c>
      <c r="M22" s="8">
        <v>1.955710816E9</v>
      </c>
      <c r="N22" s="8">
        <v>8.9989283E8</v>
      </c>
      <c r="O22" s="8">
        <v>2.5374403E7</v>
      </c>
      <c r="P22" s="8">
        <f t="shared" si="2"/>
        <v>2880978049</v>
      </c>
      <c r="Q22" s="7">
        <v>920.0</v>
      </c>
      <c r="R22" s="8">
        <v>5.4480136E7</v>
      </c>
      <c r="S22" s="8">
        <v>2.01472515E8</v>
      </c>
      <c r="T22" s="8">
        <v>1.5664244E7</v>
      </c>
      <c r="U22" s="8">
        <v>1.06702508E8</v>
      </c>
      <c r="V22" s="8">
        <f t="shared" si="3"/>
        <v>378319403</v>
      </c>
      <c r="W22" s="8">
        <v>1.360714585E9</v>
      </c>
      <c r="X22" s="8">
        <v>1.018281795E9</v>
      </c>
      <c r="Y22" s="8">
        <v>2.6533973E7</v>
      </c>
      <c r="Z22" s="8">
        <f t="shared" si="4"/>
        <v>2405530353</v>
      </c>
      <c r="AA22" s="7">
        <v>887.0</v>
      </c>
      <c r="AB22" s="8">
        <v>6133683.0</v>
      </c>
      <c r="AC22" s="8">
        <v>1.83026402E8</v>
      </c>
      <c r="AD22" s="8">
        <v>9019423.0</v>
      </c>
      <c r="AE22" s="8">
        <v>1.30898712E8</v>
      </c>
      <c r="AF22" s="10">
        <f t="shared" si="5"/>
        <v>329078220</v>
      </c>
      <c r="AG22" s="8">
        <v>1.315871601E9</v>
      </c>
      <c r="AH22" s="8">
        <v>5.73976865E8</v>
      </c>
      <c r="AI22" s="8">
        <v>2.0042414E7</v>
      </c>
      <c r="AJ22" s="8">
        <f t="shared" si="6"/>
        <v>1909890880</v>
      </c>
    </row>
    <row r="23" ht="13.5" customHeight="1">
      <c r="A23" s="11">
        <v>22.0</v>
      </c>
      <c r="B23" s="12" t="s">
        <v>68</v>
      </c>
      <c r="C23" s="12" t="s">
        <v>69</v>
      </c>
      <c r="D23" s="6" t="s">
        <v>52</v>
      </c>
      <c r="E23" s="12">
        <v>2025.0</v>
      </c>
      <c r="F23" s="12">
        <v>17.06</v>
      </c>
      <c r="G23" s="7">
        <v>1860.0</v>
      </c>
      <c r="H23" s="8">
        <v>5.6115964E7</v>
      </c>
      <c r="I23" s="8">
        <v>8.818954E8</v>
      </c>
      <c r="J23" s="8">
        <v>1.87098454E8</v>
      </c>
      <c r="K23" s="8">
        <v>1.77900208E8</v>
      </c>
      <c r="L23" s="8">
        <f t="shared" si="1"/>
        <v>1303010026</v>
      </c>
      <c r="M23" s="8">
        <v>1.966393335E9</v>
      </c>
      <c r="N23" s="8">
        <v>1.882369542E9</v>
      </c>
      <c r="O23" s="8">
        <v>6.1655745E7</v>
      </c>
      <c r="P23" s="8">
        <f t="shared" si="2"/>
        <v>3910418622</v>
      </c>
      <c r="Q23" s="7">
        <v>1957.0</v>
      </c>
      <c r="R23" s="8">
        <v>4.7651894E7</v>
      </c>
      <c r="S23" s="8">
        <v>6.76205713E8</v>
      </c>
      <c r="T23" s="8">
        <v>1.74024324E8</v>
      </c>
      <c r="U23" s="8">
        <v>1.18605394E8</v>
      </c>
      <c r="V23" s="8">
        <f t="shared" si="3"/>
        <v>1016487325</v>
      </c>
      <c r="W23" s="8">
        <v>1.520808097E9</v>
      </c>
      <c r="X23" s="8">
        <v>1.589537456E9</v>
      </c>
      <c r="Y23" s="8">
        <v>2.901099E7</v>
      </c>
      <c r="Z23" s="8">
        <f t="shared" si="4"/>
        <v>3139356543</v>
      </c>
      <c r="AA23" s="7">
        <v>1448.0</v>
      </c>
      <c r="AB23" s="8">
        <v>2.458761E7</v>
      </c>
      <c r="AC23" s="8">
        <v>5.67421951E8</v>
      </c>
      <c r="AD23" s="8">
        <v>1.52894711E8</v>
      </c>
      <c r="AE23" s="8">
        <v>1.08885007E8</v>
      </c>
      <c r="AF23" s="10">
        <f t="shared" si="5"/>
        <v>853789279</v>
      </c>
      <c r="AG23" s="8">
        <v>1.381391664E9</v>
      </c>
      <c r="AH23" s="8">
        <v>1.414728444E9</v>
      </c>
      <c r="AI23" s="8">
        <v>1.7378213E7</v>
      </c>
      <c r="AJ23" s="8">
        <f t="shared" si="6"/>
        <v>2813498321</v>
      </c>
    </row>
    <row r="24" ht="13.5" customHeight="1">
      <c r="A24" s="11">
        <v>23.0</v>
      </c>
      <c r="B24" s="12" t="s">
        <v>70</v>
      </c>
      <c r="C24" s="12" t="s">
        <v>71</v>
      </c>
      <c r="D24" s="13" t="s">
        <v>52</v>
      </c>
      <c r="E24" s="12">
        <v>2025.0</v>
      </c>
      <c r="F24" s="12">
        <v>15.73</v>
      </c>
      <c r="G24" s="7">
        <v>2634.0</v>
      </c>
      <c r="H24" s="8">
        <v>1.41944351E8</v>
      </c>
      <c r="I24" s="8">
        <v>2.01735686E8</v>
      </c>
      <c r="J24" s="8">
        <v>0.0</v>
      </c>
      <c r="K24" s="8">
        <v>1.756834974E9</v>
      </c>
      <c r="L24" s="8">
        <f t="shared" si="1"/>
        <v>2100515011</v>
      </c>
      <c r="M24" s="8">
        <v>2.398050755E9</v>
      </c>
      <c r="N24" s="8">
        <v>2.737848937E9</v>
      </c>
      <c r="O24" s="8">
        <v>2.3495399E7</v>
      </c>
      <c r="P24" s="8">
        <f t="shared" si="2"/>
        <v>5159395091</v>
      </c>
      <c r="Q24" s="7">
        <v>2312.0</v>
      </c>
      <c r="R24" s="8">
        <v>2.0794327E8</v>
      </c>
      <c r="S24" s="8">
        <v>3.04576494E8</v>
      </c>
      <c r="T24" s="8">
        <v>2.57584479E8</v>
      </c>
      <c r="U24" s="8">
        <v>7.73780126E8</v>
      </c>
      <c r="V24" s="8">
        <f t="shared" si="3"/>
        <v>1543884369</v>
      </c>
      <c r="W24" s="8">
        <v>2.078938324E9</v>
      </c>
      <c r="X24" s="8">
        <v>1.303946542E9</v>
      </c>
      <c r="Y24" s="8">
        <v>5.6966676E7</v>
      </c>
      <c r="Z24" s="8">
        <f t="shared" si="4"/>
        <v>3439851542</v>
      </c>
      <c r="AA24" s="7">
        <v>2202.0</v>
      </c>
      <c r="AB24" s="8">
        <v>2.06587977E8</v>
      </c>
      <c r="AC24" s="8">
        <v>2.73590836E8</v>
      </c>
      <c r="AD24" s="8">
        <v>2.31255458E8</v>
      </c>
      <c r="AE24" s="8">
        <v>2.66783031E8</v>
      </c>
      <c r="AF24" s="10">
        <f t="shared" si="5"/>
        <v>978217302</v>
      </c>
      <c r="AG24" s="8">
        <v>1.47938533E9</v>
      </c>
      <c r="AH24" s="8">
        <v>1.571297334E9</v>
      </c>
      <c r="AI24" s="8">
        <v>4.2413665E7</v>
      </c>
      <c r="AJ24" s="8">
        <f t="shared" si="6"/>
        <v>3093096329</v>
      </c>
    </row>
    <row r="25" ht="13.5" customHeight="1">
      <c r="A25" s="11">
        <v>24.0</v>
      </c>
      <c r="B25" s="12" t="s">
        <v>72</v>
      </c>
      <c r="C25" s="12" t="s">
        <v>39</v>
      </c>
      <c r="D25" s="6" t="s">
        <v>73</v>
      </c>
      <c r="E25" s="12">
        <v>2025.0</v>
      </c>
      <c r="F25" s="12">
        <v>16.67</v>
      </c>
      <c r="G25" s="7">
        <v>351.0</v>
      </c>
      <c r="H25" s="8">
        <v>3308750.0</v>
      </c>
      <c r="I25" s="8">
        <v>1.8322088E7</v>
      </c>
      <c r="J25" s="8">
        <v>5664026.0</v>
      </c>
      <c r="K25" s="8">
        <v>1.5262938E7</v>
      </c>
      <c r="L25" s="8">
        <f t="shared" si="1"/>
        <v>42557802</v>
      </c>
      <c r="M25" s="8">
        <v>8.59520053E8</v>
      </c>
      <c r="N25" s="8">
        <v>3.49729433E8</v>
      </c>
      <c r="O25" s="8">
        <v>5095119.0</v>
      </c>
      <c r="P25" s="8">
        <f t="shared" si="2"/>
        <v>1214344605</v>
      </c>
      <c r="Q25" s="7">
        <v>353.0</v>
      </c>
      <c r="R25" s="8">
        <v>2021499.0</v>
      </c>
      <c r="S25" s="8">
        <v>2.0332972E7</v>
      </c>
      <c r="T25" s="8">
        <v>4554615.0</v>
      </c>
      <c r="U25" s="8">
        <v>1.3914748E7</v>
      </c>
      <c r="V25" s="8">
        <f t="shared" si="3"/>
        <v>40823834</v>
      </c>
      <c r="W25" s="8">
        <v>7.79087962E8</v>
      </c>
      <c r="X25" s="8">
        <v>1.95374675E8</v>
      </c>
      <c r="Y25" s="8">
        <v>907878.0</v>
      </c>
      <c r="Z25" s="8">
        <f t="shared" si="4"/>
        <v>975370515</v>
      </c>
      <c r="AA25" s="7">
        <v>359.0</v>
      </c>
      <c r="AB25" s="8">
        <v>1770898.0</v>
      </c>
      <c r="AC25" s="8">
        <v>2.8319185E7</v>
      </c>
      <c r="AD25" s="8">
        <v>3956019.0</v>
      </c>
      <c r="AE25" s="8">
        <v>2880681.0</v>
      </c>
      <c r="AF25" s="10">
        <f t="shared" si="5"/>
        <v>36926783</v>
      </c>
      <c r="AG25" s="8">
        <v>4.8540305E8</v>
      </c>
      <c r="AH25" s="8">
        <v>7.2458353E7</v>
      </c>
      <c r="AI25" s="8">
        <v>186883.0</v>
      </c>
      <c r="AJ25" s="8">
        <f t="shared" si="6"/>
        <v>558048286</v>
      </c>
    </row>
    <row r="26" ht="13.5" customHeight="1">
      <c r="A26" s="11">
        <v>25.0</v>
      </c>
      <c r="B26" s="12" t="s">
        <v>36</v>
      </c>
      <c r="C26" s="12" t="s">
        <v>74</v>
      </c>
      <c r="D26" s="6" t="s">
        <v>73</v>
      </c>
      <c r="E26" s="12">
        <v>2025.0</v>
      </c>
      <c r="F26" s="12">
        <v>25.57</v>
      </c>
      <c r="G26" s="7">
        <v>237.0</v>
      </c>
      <c r="H26" s="8">
        <v>6.6119918E7</v>
      </c>
      <c r="I26" s="8">
        <v>1.99890174E8</v>
      </c>
      <c r="J26" s="8">
        <v>6185036.0</v>
      </c>
      <c r="K26" s="8">
        <v>2.8334309E7</v>
      </c>
      <c r="L26" s="8">
        <f t="shared" si="1"/>
        <v>300529437</v>
      </c>
      <c r="M26" s="8">
        <v>8.96246515E8</v>
      </c>
      <c r="N26" s="8">
        <v>8.47764679E8</v>
      </c>
      <c r="O26" s="8">
        <v>3.2598864E7</v>
      </c>
      <c r="P26" s="8">
        <f t="shared" si="2"/>
        <v>1776610058</v>
      </c>
      <c r="Q26" s="7">
        <v>203.0</v>
      </c>
      <c r="R26" s="8">
        <v>3.1339902E7</v>
      </c>
      <c r="S26" s="8">
        <v>2.16414304E8</v>
      </c>
      <c r="T26" s="8">
        <v>1787382.0</v>
      </c>
      <c r="U26" s="8">
        <v>1.305279E7</v>
      </c>
      <c r="V26" s="8">
        <f t="shared" si="3"/>
        <v>262594378</v>
      </c>
      <c r="W26" s="8">
        <v>7.90641159E8</v>
      </c>
      <c r="X26" s="8">
        <v>5.63015438E8</v>
      </c>
      <c r="Y26" s="8">
        <v>4.4785268E7</v>
      </c>
      <c r="Z26" s="8">
        <f t="shared" si="4"/>
        <v>1398441865</v>
      </c>
      <c r="AA26" s="7">
        <v>187.0</v>
      </c>
      <c r="AB26" s="8">
        <v>2.5595838E7</v>
      </c>
      <c r="AC26" s="8">
        <v>3.62655942E8</v>
      </c>
      <c r="AD26" s="8">
        <v>9813209.0</v>
      </c>
      <c r="AE26" s="8">
        <v>1.6597999E7</v>
      </c>
      <c r="AF26" s="10">
        <f t="shared" si="5"/>
        <v>414662988</v>
      </c>
      <c r="AG26" s="8">
        <v>6.68378143E8</v>
      </c>
      <c r="AH26" s="8">
        <v>6.28568958E8</v>
      </c>
      <c r="AI26" s="8">
        <v>5639232.0</v>
      </c>
      <c r="AJ26" s="8">
        <f t="shared" si="6"/>
        <v>1302586333</v>
      </c>
    </row>
    <row r="27" ht="13.5" customHeight="1">
      <c r="A27" s="11">
        <v>26.0</v>
      </c>
      <c r="B27" s="12" t="s">
        <v>36</v>
      </c>
      <c r="C27" s="12" t="s">
        <v>75</v>
      </c>
      <c r="D27" s="6" t="s">
        <v>73</v>
      </c>
      <c r="E27" s="12">
        <v>2025.0</v>
      </c>
      <c r="F27" s="12">
        <v>21.51</v>
      </c>
      <c r="G27" s="7">
        <v>293.0</v>
      </c>
      <c r="H27" s="8">
        <v>7.2507108E7</v>
      </c>
      <c r="I27" s="8">
        <v>1.07640688E8</v>
      </c>
      <c r="J27" s="8">
        <v>1.45737145E8</v>
      </c>
      <c r="K27" s="8">
        <v>7.1658477E7</v>
      </c>
      <c r="L27" s="8">
        <f t="shared" si="1"/>
        <v>397543418</v>
      </c>
      <c r="M27" s="8">
        <v>6.28458192E8</v>
      </c>
      <c r="N27" s="8">
        <v>1.535480911E9</v>
      </c>
      <c r="O27" s="8">
        <v>7569965.0</v>
      </c>
      <c r="P27" s="8">
        <f t="shared" si="2"/>
        <v>2171509068</v>
      </c>
      <c r="Q27" s="7">
        <v>240.0</v>
      </c>
      <c r="R27" s="8">
        <v>7.0004195E7</v>
      </c>
      <c r="S27" s="8">
        <v>8.9947259E7</v>
      </c>
      <c r="T27" s="8">
        <v>7.0111888E7</v>
      </c>
      <c r="U27" s="8">
        <v>7.4201707E7</v>
      </c>
      <c r="V27" s="8">
        <f t="shared" si="3"/>
        <v>304265049</v>
      </c>
      <c r="W27" s="8">
        <v>5.03949111E8</v>
      </c>
      <c r="X27" s="8">
        <v>1.184099998E9</v>
      </c>
      <c r="Y27" s="8">
        <v>2653847.0</v>
      </c>
      <c r="Z27" s="8">
        <f t="shared" si="4"/>
        <v>1690702956</v>
      </c>
      <c r="AA27" s="7">
        <v>194.0</v>
      </c>
      <c r="AB27" s="8">
        <v>3.5101895E7</v>
      </c>
      <c r="AC27" s="8">
        <v>3.7610048E7</v>
      </c>
      <c r="AD27" s="8">
        <v>4.6767696E7</v>
      </c>
      <c r="AE27" s="8">
        <v>2.8221512E7</v>
      </c>
      <c r="AF27" s="10">
        <f t="shared" si="5"/>
        <v>147701151</v>
      </c>
      <c r="AG27" s="8">
        <v>4.00687047E8</v>
      </c>
      <c r="AH27" s="8">
        <v>5.53386093E8</v>
      </c>
      <c r="AI27" s="8">
        <v>1034001.0</v>
      </c>
      <c r="AJ27" s="8">
        <f t="shared" si="6"/>
        <v>955107141</v>
      </c>
    </row>
    <row r="28" ht="13.5" customHeight="1">
      <c r="A28" s="11">
        <v>27.0</v>
      </c>
      <c r="B28" s="12" t="s">
        <v>36</v>
      </c>
      <c r="C28" s="12" t="s">
        <v>76</v>
      </c>
      <c r="D28" s="6" t="s">
        <v>73</v>
      </c>
      <c r="E28" s="12">
        <v>2025.0</v>
      </c>
      <c r="F28" s="12">
        <v>25.44</v>
      </c>
      <c r="G28" s="7">
        <v>456.0</v>
      </c>
      <c r="H28" s="8">
        <v>8.6170909E7</v>
      </c>
      <c r="I28" s="8">
        <v>6.10190453E8</v>
      </c>
      <c r="J28" s="8">
        <v>1978328.0</v>
      </c>
      <c r="K28" s="8">
        <v>1.95527316E8</v>
      </c>
      <c r="L28" s="8">
        <f t="shared" si="1"/>
        <v>893867006</v>
      </c>
      <c r="M28" s="8">
        <v>1.17441745E9</v>
      </c>
      <c r="N28" s="8">
        <v>1.954921058E9</v>
      </c>
      <c r="O28" s="8">
        <v>2.0118872E7</v>
      </c>
      <c r="P28" s="8">
        <f t="shared" si="2"/>
        <v>3149457380</v>
      </c>
      <c r="Q28" s="7">
        <v>330.0</v>
      </c>
      <c r="R28" s="8">
        <v>1.0987153E8</v>
      </c>
      <c r="S28" s="8">
        <v>3.65488037E8</v>
      </c>
      <c r="T28" s="8">
        <v>917395.0</v>
      </c>
      <c r="U28" s="8">
        <v>3.85635193E8</v>
      </c>
      <c r="V28" s="8">
        <f t="shared" si="3"/>
        <v>861912155</v>
      </c>
      <c r="W28" s="8">
        <v>7.78949563E8</v>
      </c>
      <c r="X28" s="8">
        <v>1.496975993E9</v>
      </c>
      <c r="Y28" s="8">
        <v>2.2484069E7</v>
      </c>
      <c r="Z28" s="8">
        <f t="shared" si="4"/>
        <v>2298409625</v>
      </c>
      <c r="AA28" s="7">
        <v>219.0</v>
      </c>
      <c r="AB28" s="8">
        <v>3.1578203E7</v>
      </c>
      <c r="AC28" s="8">
        <v>3.96024778E8</v>
      </c>
      <c r="AD28" s="8">
        <v>1.7230645E7</v>
      </c>
      <c r="AE28" s="8">
        <v>1.65797521E8</v>
      </c>
      <c r="AF28" s="10">
        <f t="shared" si="5"/>
        <v>610631147</v>
      </c>
      <c r="AG28" s="8">
        <v>5.91593878E8</v>
      </c>
      <c r="AH28" s="8">
        <v>1.063070705E9</v>
      </c>
      <c r="AI28" s="8">
        <v>1648564.0</v>
      </c>
      <c r="AJ28" s="8">
        <f t="shared" si="6"/>
        <v>1656313147</v>
      </c>
    </row>
    <row r="29" ht="13.5" customHeight="1">
      <c r="A29" s="11">
        <v>28.0</v>
      </c>
      <c r="B29" s="12" t="s">
        <v>46</v>
      </c>
      <c r="C29" s="12" t="s">
        <v>77</v>
      </c>
      <c r="D29" s="6" t="s">
        <v>73</v>
      </c>
      <c r="E29" s="12">
        <v>2025.0</v>
      </c>
      <c r="F29" s="12">
        <v>17.68</v>
      </c>
      <c r="G29" s="7">
        <v>1025.0</v>
      </c>
      <c r="H29" s="8">
        <v>6.1208287E7</v>
      </c>
      <c r="I29" s="8">
        <v>1.31846194E8</v>
      </c>
      <c r="J29" s="8">
        <v>1.2493884E7</v>
      </c>
      <c r="K29" s="8">
        <v>7.2766807E7</v>
      </c>
      <c r="L29" s="8">
        <f t="shared" si="1"/>
        <v>278315172</v>
      </c>
      <c r="M29" s="8">
        <v>1.28914739E9</v>
      </c>
      <c r="N29" s="8">
        <v>1.388646412E9</v>
      </c>
      <c r="O29" s="8">
        <v>7.6575245E7</v>
      </c>
      <c r="P29" s="8">
        <f t="shared" si="2"/>
        <v>2754369047</v>
      </c>
      <c r="Q29" s="7">
        <v>1126.0</v>
      </c>
      <c r="R29" s="8">
        <v>5.9099482E7</v>
      </c>
      <c r="S29" s="8">
        <v>2.81512097E8</v>
      </c>
      <c r="T29" s="8">
        <v>1.6338135E7</v>
      </c>
      <c r="U29" s="8">
        <v>1.82281558E8</v>
      </c>
      <c r="V29" s="8">
        <f t="shared" si="3"/>
        <v>539231272</v>
      </c>
      <c r="W29" s="8">
        <v>1.214818E9</v>
      </c>
      <c r="X29" s="8">
        <v>1.181716694E9</v>
      </c>
      <c r="Y29" s="8">
        <v>4.9386214E7</v>
      </c>
      <c r="Z29" s="8">
        <f t="shared" si="4"/>
        <v>2445920908</v>
      </c>
      <c r="AA29" s="7">
        <v>926.0</v>
      </c>
      <c r="AB29" s="8">
        <v>5.505209E7</v>
      </c>
      <c r="AC29" s="8">
        <v>1.48347864E8</v>
      </c>
      <c r="AD29" s="8">
        <v>1.6246719E7</v>
      </c>
      <c r="AE29" s="8">
        <v>5.3012681E7</v>
      </c>
      <c r="AF29" s="10">
        <f t="shared" si="5"/>
        <v>272659354</v>
      </c>
      <c r="AG29" s="8">
        <v>1.028599459E9</v>
      </c>
      <c r="AH29" s="8">
        <v>8.71437903E8</v>
      </c>
      <c r="AI29" s="8">
        <v>2.9020967E7</v>
      </c>
      <c r="AJ29" s="8">
        <f t="shared" si="6"/>
        <v>1929058329</v>
      </c>
    </row>
    <row r="30" ht="13.5" customHeight="1">
      <c r="A30" s="11">
        <v>29.0</v>
      </c>
      <c r="B30" s="12" t="s">
        <v>78</v>
      </c>
      <c r="C30" s="12" t="s">
        <v>79</v>
      </c>
      <c r="D30" s="6" t="s">
        <v>80</v>
      </c>
      <c r="E30" s="12">
        <v>2025.0</v>
      </c>
      <c r="F30" s="12">
        <v>15.31</v>
      </c>
      <c r="G30" s="7">
        <v>2065.0</v>
      </c>
      <c r="H30" s="8">
        <v>4.6424349E7</v>
      </c>
      <c r="I30" s="8">
        <v>1.8713539E8</v>
      </c>
      <c r="J30" s="8">
        <v>1.09869511E8</v>
      </c>
      <c r="K30" s="8">
        <v>4.52995099E8</v>
      </c>
      <c r="L30" s="8">
        <f t="shared" si="1"/>
        <v>796424349</v>
      </c>
      <c r="M30" s="8">
        <v>2.279570118E9</v>
      </c>
      <c r="N30" s="8">
        <v>1.927388284E9</v>
      </c>
      <c r="O30" s="8">
        <v>4.5850122E7</v>
      </c>
      <c r="P30" s="8">
        <f t="shared" si="2"/>
        <v>4252808524</v>
      </c>
      <c r="Q30" s="7">
        <v>2222.0</v>
      </c>
      <c r="R30" s="8">
        <v>2.9453648E7</v>
      </c>
      <c r="S30" s="8">
        <v>1.2249954E8</v>
      </c>
      <c r="T30" s="8">
        <v>1.08295E8</v>
      </c>
      <c r="U30" s="8">
        <v>2.641339E8</v>
      </c>
      <c r="V30" s="8">
        <f t="shared" si="3"/>
        <v>524382088</v>
      </c>
      <c r="W30" s="8">
        <v>1.849922737E9</v>
      </c>
      <c r="X30" s="8">
        <v>1.150849488E9</v>
      </c>
      <c r="Y30" s="4">
        <v>3.7958982E7</v>
      </c>
      <c r="Z30" s="8">
        <f t="shared" si="4"/>
        <v>3038731207</v>
      </c>
      <c r="AA30" s="7">
        <v>1655.0</v>
      </c>
      <c r="AB30" s="8">
        <v>2.5531119E7</v>
      </c>
      <c r="AC30" s="8">
        <v>1.03116258E8</v>
      </c>
      <c r="AD30" s="8">
        <v>8.8353428E7</v>
      </c>
      <c r="AE30" s="8">
        <v>1.98390554E8</v>
      </c>
      <c r="AF30" s="10">
        <f t="shared" si="5"/>
        <v>415391359</v>
      </c>
      <c r="AG30" s="8">
        <v>1.579525713E9</v>
      </c>
      <c r="AH30" s="8">
        <v>1.06671761E9</v>
      </c>
      <c r="AI30" s="8">
        <v>2.6562393E7</v>
      </c>
      <c r="AJ30" s="8">
        <f t="shared" si="6"/>
        <v>2672805716</v>
      </c>
    </row>
    <row r="31" ht="13.5" customHeight="1">
      <c r="A31" s="11">
        <v>30.0</v>
      </c>
      <c r="B31" s="12" t="s">
        <v>81</v>
      </c>
      <c r="C31" s="12" t="s">
        <v>39</v>
      </c>
      <c r="D31" s="6" t="s">
        <v>2</v>
      </c>
      <c r="E31" s="12">
        <v>2025.0</v>
      </c>
      <c r="F31" s="12">
        <v>12.0</v>
      </c>
      <c r="G31" s="7">
        <v>2484.0</v>
      </c>
      <c r="H31" s="8">
        <v>2.9908027E7</v>
      </c>
      <c r="I31" s="8">
        <v>3.892708E7</v>
      </c>
      <c r="J31" s="8">
        <v>6255671.0</v>
      </c>
      <c r="K31" s="8">
        <v>4.30554226E8</v>
      </c>
      <c r="L31" s="8">
        <f t="shared" si="1"/>
        <v>505645004</v>
      </c>
      <c r="M31" s="8">
        <v>1.503660663E9</v>
      </c>
      <c r="N31" s="8">
        <v>6.53474149E8</v>
      </c>
      <c r="O31" s="8">
        <v>2.17171565E8</v>
      </c>
      <c r="P31" s="8">
        <f t="shared" si="2"/>
        <v>2374306377</v>
      </c>
      <c r="Q31" s="7">
        <v>2262.0</v>
      </c>
      <c r="R31" s="8">
        <v>3.9921321E7</v>
      </c>
      <c r="S31" s="8">
        <v>1.47431818E8</v>
      </c>
      <c r="T31" s="8">
        <v>7.3233018E7</v>
      </c>
      <c r="U31" s="8">
        <v>4.4492741E7</v>
      </c>
      <c r="V31" s="8">
        <f t="shared" si="3"/>
        <v>305078898</v>
      </c>
      <c r="W31" s="8">
        <v>1.426151762E9</v>
      </c>
      <c r="X31" s="8">
        <v>9.13998599E8</v>
      </c>
      <c r="Y31" s="8">
        <v>2.45524961E8</v>
      </c>
      <c r="Z31" s="8">
        <f t="shared" si="4"/>
        <v>2585675322</v>
      </c>
      <c r="AA31" s="7">
        <v>2240.0</v>
      </c>
      <c r="AB31" s="8">
        <v>2.4848269E7</v>
      </c>
      <c r="AC31" s="8">
        <v>1.1200971E8</v>
      </c>
      <c r="AD31" s="8">
        <v>7.1455537E7</v>
      </c>
      <c r="AE31" s="8">
        <v>3.2185627E7</v>
      </c>
      <c r="AF31" s="10">
        <f t="shared" si="5"/>
        <v>240499143</v>
      </c>
      <c r="AG31" s="8">
        <v>1.38288033E9</v>
      </c>
      <c r="AH31" s="8">
        <v>6.08283742E8</v>
      </c>
      <c r="AI31" s="8">
        <v>3.48443344E8</v>
      </c>
      <c r="AJ31" s="8">
        <f t="shared" si="6"/>
        <v>2339607416</v>
      </c>
    </row>
    <row r="32" ht="13.5" customHeight="1">
      <c r="A32" s="11">
        <v>31.0</v>
      </c>
      <c r="B32" s="12" t="s">
        <v>82</v>
      </c>
      <c r="C32" s="12" t="s">
        <v>83</v>
      </c>
      <c r="D32" s="14" t="s">
        <v>80</v>
      </c>
      <c r="E32" s="12">
        <v>2025.0</v>
      </c>
      <c r="F32" s="12">
        <v>10.77</v>
      </c>
      <c r="G32" s="7">
        <v>3125.0</v>
      </c>
      <c r="H32" s="8">
        <v>3.9489619E7</v>
      </c>
      <c r="I32" s="8">
        <v>2.14901263E8</v>
      </c>
      <c r="J32" s="8">
        <v>9880134.0</v>
      </c>
      <c r="K32" s="8">
        <v>6.0124745E8</v>
      </c>
      <c r="L32" s="8">
        <f t="shared" si="1"/>
        <v>865518466</v>
      </c>
      <c r="M32" s="8">
        <v>1.486142716E9</v>
      </c>
      <c r="N32" s="8">
        <v>6.27873678E8</v>
      </c>
      <c r="O32" s="8">
        <v>1.4920503E7</v>
      </c>
      <c r="P32" s="8">
        <f t="shared" si="2"/>
        <v>2128936897</v>
      </c>
      <c r="Q32" s="7">
        <v>3222.0</v>
      </c>
      <c r="R32" s="8">
        <v>3.7248675E7</v>
      </c>
      <c r="S32" s="8">
        <v>2.76603168E8</v>
      </c>
      <c r="T32" s="8">
        <v>9443035.0</v>
      </c>
      <c r="U32" s="8">
        <v>5.83735389E8</v>
      </c>
      <c r="V32" s="8">
        <f t="shared" si="3"/>
        <v>907030267</v>
      </c>
      <c r="W32" s="8">
        <v>1.453941806E9</v>
      </c>
      <c r="X32" s="8">
        <v>6.25012626E8</v>
      </c>
      <c r="Y32" s="8">
        <v>7181813.0</v>
      </c>
      <c r="Z32" s="8">
        <f t="shared" si="4"/>
        <v>2086136245</v>
      </c>
      <c r="AA32" s="7">
        <v>3234.0</v>
      </c>
      <c r="AB32" s="8">
        <v>3.5823326E7</v>
      </c>
      <c r="AC32" s="8">
        <v>2.7404067E8</v>
      </c>
      <c r="AD32" s="8">
        <v>9836097.0</v>
      </c>
      <c r="AE32" s="8">
        <v>4.96391242E8</v>
      </c>
      <c r="AF32" s="10">
        <f t="shared" si="5"/>
        <v>816091335</v>
      </c>
      <c r="AG32" s="8">
        <v>1.506044999E9</v>
      </c>
      <c r="AH32" s="8">
        <v>6.0132029E8</v>
      </c>
      <c r="AI32" s="8">
        <v>1.2300045E7</v>
      </c>
      <c r="AJ32" s="8">
        <f t="shared" si="6"/>
        <v>2119665334</v>
      </c>
    </row>
    <row r="33" ht="13.5" customHeight="1">
      <c r="A33" s="11">
        <v>32.0</v>
      </c>
      <c r="B33" s="12" t="s">
        <v>84</v>
      </c>
      <c r="C33" s="12" t="s">
        <v>85</v>
      </c>
      <c r="D33" s="6" t="s">
        <v>73</v>
      </c>
      <c r="E33" s="12">
        <v>2025.0</v>
      </c>
      <c r="F33" s="12">
        <v>20.73</v>
      </c>
      <c r="G33" s="7">
        <v>356.0</v>
      </c>
      <c r="H33" s="8">
        <v>5.9215538E7</v>
      </c>
      <c r="I33" s="8">
        <v>3.17943911E8</v>
      </c>
      <c r="J33" s="8">
        <v>5179903.0</v>
      </c>
      <c r="K33" s="8">
        <v>7.64043847E8</v>
      </c>
      <c r="L33" s="8">
        <f t="shared" si="1"/>
        <v>1146383199</v>
      </c>
      <c r="M33" s="8">
        <v>7.2811555E8</v>
      </c>
      <c r="N33" s="8">
        <v>6.9257043E8</v>
      </c>
      <c r="O33" s="8">
        <v>6.5840101E7</v>
      </c>
      <c r="P33" s="8">
        <f t="shared" si="2"/>
        <v>1486526081</v>
      </c>
      <c r="Q33" s="7">
        <v>319.0</v>
      </c>
      <c r="R33" s="8">
        <v>7.5746137E7</v>
      </c>
      <c r="S33" s="8">
        <v>2.13322815E8</v>
      </c>
      <c r="T33" s="8">
        <v>2268087.0</v>
      </c>
      <c r="U33" s="8">
        <v>1.2459316E7</v>
      </c>
      <c r="V33" s="8">
        <f t="shared" si="3"/>
        <v>303796355</v>
      </c>
      <c r="W33" s="8">
        <v>6.7272023E8</v>
      </c>
      <c r="X33" s="8">
        <v>7.77227956E8</v>
      </c>
      <c r="Y33" s="8">
        <v>5.0874389E7</v>
      </c>
      <c r="Z33" s="8">
        <f t="shared" si="4"/>
        <v>1500822575</v>
      </c>
      <c r="AA33" s="7">
        <v>292.0</v>
      </c>
      <c r="AB33" s="8">
        <v>3.9879613E7</v>
      </c>
      <c r="AC33" s="8">
        <v>1.75879552E8</v>
      </c>
      <c r="AD33" s="8">
        <v>9914230.0</v>
      </c>
      <c r="AE33" s="8">
        <v>1.9760201E7</v>
      </c>
      <c r="AF33" s="10">
        <f t="shared" si="5"/>
        <v>245433596</v>
      </c>
      <c r="AG33" s="8">
        <v>5.92137411E8</v>
      </c>
      <c r="AH33" s="8">
        <v>6.07049468E8</v>
      </c>
      <c r="AI33" s="8">
        <v>1.3349937E7</v>
      </c>
      <c r="AJ33" s="8">
        <f t="shared" si="6"/>
        <v>1212536816</v>
      </c>
    </row>
    <row r="34" ht="13.5" customHeight="1">
      <c r="A34" s="11">
        <v>33.0</v>
      </c>
      <c r="B34" s="12" t="s">
        <v>86</v>
      </c>
      <c r="C34" s="12" t="s">
        <v>87</v>
      </c>
      <c r="D34" s="6" t="s">
        <v>52</v>
      </c>
      <c r="E34" s="12">
        <v>2025.0</v>
      </c>
      <c r="F34" s="12">
        <v>12.78</v>
      </c>
      <c r="G34" s="7">
        <v>1456.0</v>
      </c>
      <c r="H34" s="8">
        <v>2.3157403E7</v>
      </c>
      <c r="I34" s="8">
        <v>8.118244E7</v>
      </c>
      <c r="J34" s="8">
        <v>3.3628717E7</v>
      </c>
      <c r="K34" s="8">
        <v>1.40894662E8</v>
      </c>
      <c r="L34" s="8">
        <f t="shared" si="1"/>
        <v>278863222</v>
      </c>
      <c r="M34" s="8">
        <v>9.28471349E8</v>
      </c>
      <c r="N34" s="8">
        <v>6.32904525E8</v>
      </c>
      <c r="O34" s="8">
        <v>8.9461402E7</v>
      </c>
      <c r="P34" s="8">
        <f t="shared" si="2"/>
        <v>1650837276</v>
      </c>
      <c r="Q34" s="7">
        <v>1255.0</v>
      </c>
      <c r="R34" s="8">
        <v>2.1508924E7</v>
      </c>
      <c r="S34" s="8">
        <v>7.7910681E7</v>
      </c>
      <c r="T34" s="8">
        <v>3.8152005E7</v>
      </c>
      <c r="U34" s="8">
        <v>1.420883E8</v>
      </c>
      <c r="V34" s="8">
        <f t="shared" si="3"/>
        <v>279659910</v>
      </c>
      <c r="W34" s="8">
        <v>8.51093792E8</v>
      </c>
      <c r="X34" s="8">
        <v>6.12738499E8</v>
      </c>
      <c r="Y34" s="8">
        <v>8.0311203E7</v>
      </c>
      <c r="Z34" s="8">
        <f t="shared" si="4"/>
        <v>1544143494</v>
      </c>
      <c r="AA34" s="7">
        <v>1257.0</v>
      </c>
      <c r="AB34" s="8">
        <v>2.0938615E7</v>
      </c>
      <c r="AC34" s="8">
        <v>8.8201473E7</v>
      </c>
      <c r="AD34" s="8">
        <v>3.5294018E7</v>
      </c>
      <c r="AE34" s="8">
        <v>1.34520791E8</v>
      </c>
      <c r="AF34" s="10">
        <f t="shared" si="5"/>
        <v>278954897</v>
      </c>
      <c r="AG34" s="8">
        <v>7.49358004E8</v>
      </c>
      <c r="AH34" s="8">
        <v>5.81258097E8</v>
      </c>
      <c r="AI34" s="8">
        <v>6.7582943E7</v>
      </c>
      <c r="AJ34" s="8">
        <f t="shared" si="6"/>
        <v>1398199044</v>
      </c>
    </row>
    <row r="35" ht="13.5" customHeight="1">
      <c r="A35" s="11">
        <v>34.0</v>
      </c>
      <c r="B35" s="12" t="s">
        <v>88</v>
      </c>
      <c r="C35" s="12" t="s">
        <v>89</v>
      </c>
      <c r="D35" s="6" t="s">
        <v>73</v>
      </c>
      <c r="E35" s="12">
        <v>2025.0</v>
      </c>
      <c r="F35" s="12">
        <v>17.6</v>
      </c>
      <c r="G35" s="7">
        <v>449.0</v>
      </c>
      <c r="H35" s="8">
        <v>6340015.0</v>
      </c>
      <c r="I35" s="8">
        <v>2.2971315E7</v>
      </c>
      <c r="J35" s="8">
        <v>788019.0</v>
      </c>
      <c r="K35" s="8">
        <v>6640000.0</v>
      </c>
      <c r="L35" s="8">
        <f t="shared" si="1"/>
        <v>36739349</v>
      </c>
      <c r="M35" s="8">
        <v>1.221925654E9</v>
      </c>
      <c r="N35" s="8">
        <v>3.8406673E7</v>
      </c>
      <c r="O35" s="8">
        <v>1470071.0</v>
      </c>
      <c r="P35" s="8">
        <f t="shared" si="2"/>
        <v>1261802398</v>
      </c>
      <c r="Q35" s="7">
        <v>431.0</v>
      </c>
      <c r="R35" s="8">
        <v>6270903.0</v>
      </c>
      <c r="S35" s="8">
        <v>2.0795203E7</v>
      </c>
      <c r="T35" s="8">
        <v>1764152.0</v>
      </c>
      <c r="U35" s="8">
        <v>6810400.0</v>
      </c>
      <c r="V35" s="8">
        <f t="shared" si="3"/>
        <v>35640658</v>
      </c>
      <c r="W35" s="8">
        <v>1.112746231E9</v>
      </c>
      <c r="X35" s="8">
        <v>6.8456204E7</v>
      </c>
      <c r="Y35" s="8">
        <v>1940789.0</v>
      </c>
      <c r="Z35" s="8">
        <f t="shared" si="4"/>
        <v>1183143224</v>
      </c>
      <c r="AA35" s="7">
        <v>424.0</v>
      </c>
      <c r="AB35" s="8">
        <v>4680936.0</v>
      </c>
      <c r="AC35" s="8">
        <v>1.1085181E7</v>
      </c>
      <c r="AD35" s="8">
        <v>1060846.0</v>
      </c>
      <c r="AE35" s="8">
        <v>5913672.0</v>
      </c>
      <c r="AF35" s="10">
        <f t="shared" si="5"/>
        <v>22740635</v>
      </c>
      <c r="AG35" s="8">
        <v>1.056068812E9</v>
      </c>
      <c r="AH35" s="8">
        <v>2.671737E7</v>
      </c>
      <c r="AI35" s="8">
        <v>393538.0</v>
      </c>
      <c r="AJ35" s="8">
        <f t="shared" si="6"/>
        <v>1083179720</v>
      </c>
    </row>
    <row r="36" ht="13.5" customHeight="1">
      <c r="A36" s="11">
        <v>35.0</v>
      </c>
      <c r="B36" s="12" t="s">
        <v>90</v>
      </c>
      <c r="C36" s="12" t="s">
        <v>91</v>
      </c>
      <c r="D36" s="6" t="s">
        <v>52</v>
      </c>
      <c r="E36" s="12">
        <v>2025.0</v>
      </c>
      <c r="F36" s="12">
        <v>10.66</v>
      </c>
      <c r="G36" s="7">
        <v>3180.0</v>
      </c>
      <c r="H36" s="8">
        <v>6.4212009E7</v>
      </c>
      <c r="I36" s="8">
        <v>1.94532939E8</v>
      </c>
      <c r="J36" s="8">
        <v>2.3631908E7</v>
      </c>
      <c r="K36" s="8">
        <v>2.36748056E8</v>
      </c>
      <c r="L36" s="8">
        <f t="shared" si="1"/>
        <v>519124912</v>
      </c>
      <c r="M36" s="8">
        <v>1.952929155E9</v>
      </c>
      <c r="N36" s="8">
        <v>8.66168999E8</v>
      </c>
      <c r="O36" s="8">
        <v>5532692.0</v>
      </c>
      <c r="P36" s="8">
        <f t="shared" si="2"/>
        <v>2824630846</v>
      </c>
      <c r="Q36" s="7">
        <v>3396.0</v>
      </c>
      <c r="R36" s="8">
        <v>5.9980217E7</v>
      </c>
      <c r="S36" s="8">
        <v>2.37894079E8</v>
      </c>
      <c r="T36" s="8">
        <v>2.5499421E7</v>
      </c>
      <c r="U36" s="8">
        <v>1.57015985E8</v>
      </c>
      <c r="V36" s="8">
        <f t="shared" si="3"/>
        <v>480389702</v>
      </c>
      <c r="W36" s="8">
        <v>1.557882316E9</v>
      </c>
      <c r="X36" s="8">
        <v>9.98169934E8</v>
      </c>
      <c r="Y36" s="8">
        <v>3805340.0</v>
      </c>
      <c r="Z36" s="8">
        <f t="shared" si="4"/>
        <v>2559857590</v>
      </c>
      <c r="AA36" s="7">
        <v>3180.0</v>
      </c>
      <c r="AB36" s="8">
        <v>5.2646291E7</v>
      </c>
      <c r="AC36" s="8">
        <v>8.1223069E7</v>
      </c>
      <c r="AD36" s="8">
        <v>3258081.0</v>
      </c>
      <c r="AE36" s="8">
        <v>4.3004039E7</v>
      </c>
      <c r="AF36" s="10">
        <f t="shared" si="5"/>
        <v>180131480</v>
      </c>
      <c r="AG36" s="8">
        <v>1.135043255E9</v>
      </c>
      <c r="AH36" s="8">
        <v>8.39594234E8</v>
      </c>
      <c r="AI36" s="8">
        <v>3607329.0</v>
      </c>
      <c r="AJ36" s="8">
        <f t="shared" si="6"/>
        <v>1978244818</v>
      </c>
    </row>
    <row r="37" ht="13.5" customHeight="1">
      <c r="A37" s="11">
        <v>36.0</v>
      </c>
      <c r="B37" s="12" t="s">
        <v>92</v>
      </c>
      <c r="C37" s="12" t="s">
        <v>69</v>
      </c>
      <c r="D37" s="6" t="s">
        <v>52</v>
      </c>
      <c r="E37" s="12">
        <v>2025.0</v>
      </c>
      <c r="F37" s="12">
        <v>15.61</v>
      </c>
      <c r="G37" s="7">
        <v>3461.0</v>
      </c>
      <c r="H37" s="8">
        <v>1.35735758E8</v>
      </c>
      <c r="I37" s="8">
        <v>5.48539389E8</v>
      </c>
      <c r="J37" s="8">
        <v>1.43556483E8</v>
      </c>
      <c r="K37" s="8">
        <v>1.87390894E8</v>
      </c>
      <c r="L37" s="8">
        <f t="shared" si="1"/>
        <v>1015222524</v>
      </c>
      <c r="M37" s="8">
        <v>2.335833355E9</v>
      </c>
      <c r="N37" s="8">
        <v>3.63864264E9</v>
      </c>
      <c r="O37" s="8">
        <v>2.37050503E8</v>
      </c>
      <c r="P37" s="8">
        <f t="shared" si="2"/>
        <v>6211526498</v>
      </c>
      <c r="Q37" s="7">
        <v>3536.0</v>
      </c>
      <c r="R37" s="8">
        <v>1.13213358E8</v>
      </c>
      <c r="S37" s="8">
        <v>6.7445984E7</v>
      </c>
      <c r="T37" s="8">
        <v>1.27528828E8</v>
      </c>
      <c r="U37" s="8">
        <v>4.47375565E8</v>
      </c>
      <c r="V37" s="8">
        <f t="shared" si="3"/>
        <v>755563735</v>
      </c>
      <c r="W37" s="8">
        <v>1.944389797E9</v>
      </c>
      <c r="X37" s="8">
        <v>2.425810549E9</v>
      </c>
      <c r="Y37" s="8">
        <v>1.16393055E8</v>
      </c>
      <c r="Z37" s="8">
        <f t="shared" si="4"/>
        <v>4486593401</v>
      </c>
      <c r="AA37" s="7">
        <v>3708.0</v>
      </c>
      <c r="AB37" s="8">
        <v>1.0817812E8</v>
      </c>
      <c r="AC37" s="8">
        <v>3.68177194E8</v>
      </c>
      <c r="AD37" s="8">
        <v>9677795.0</v>
      </c>
      <c r="AE37" s="8">
        <v>2.27529868E8</v>
      </c>
      <c r="AF37" s="10">
        <f t="shared" si="5"/>
        <v>713562977</v>
      </c>
      <c r="AG37" s="8">
        <v>1.611827581E9</v>
      </c>
      <c r="AH37" s="8">
        <v>2.181902743E9</v>
      </c>
      <c r="AI37" s="8">
        <v>1.60780061E8</v>
      </c>
      <c r="AJ37" s="8">
        <f t="shared" si="6"/>
        <v>3954510385</v>
      </c>
    </row>
    <row r="38" ht="13.5" customHeight="1">
      <c r="A38" s="11">
        <v>37.0</v>
      </c>
      <c r="B38" s="12" t="s">
        <v>93</v>
      </c>
      <c r="C38" s="12" t="s">
        <v>94</v>
      </c>
      <c r="D38" s="6" t="s">
        <v>80</v>
      </c>
      <c r="E38" s="12">
        <v>2025.0</v>
      </c>
      <c r="F38" s="12">
        <v>12.92</v>
      </c>
      <c r="G38" s="7">
        <v>1048.0</v>
      </c>
      <c r="H38" s="8">
        <v>1.8676042E7</v>
      </c>
      <c r="I38" s="8">
        <v>6415580.0</v>
      </c>
      <c r="J38" s="8">
        <v>0.0</v>
      </c>
      <c r="K38" s="8">
        <v>7.2472845E7</v>
      </c>
      <c r="L38" s="8">
        <f t="shared" si="1"/>
        <v>97564467</v>
      </c>
      <c r="M38" s="8">
        <v>8.51462348E8</v>
      </c>
      <c r="N38" s="8">
        <v>1.341202159E9</v>
      </c>
      <c r="O38" s="8">
        <v>2.5102844E7</v>
      </c>
      <c r="P38" s="8">
        <f t="shared" si="2"/>
        <v>2217767351</v>
      </c>
      <c r="Q38" s="7">
        <v>1567.0</v>
      </c>
      <c r="R38" s="8">
        <v>1.525887E7</v>
      </c>
      <c r="S38" s="8">
        <v>1625661.0</v>
      </c>
      <c r="T38" s="8">
        <v>0.0</v>
      </c>
      <c r="U38" s="8">
        <v>5.9828305E7</v>
      </c>
      <c r="V38" s="8">
        <f t="shared" si="3"/>
        <v>76712836</v>
      </c>
      <c r="W38" s="8">
        <v>7.49209662E8</v>
      </c>
      <c r="X38" s="8">
        <v>1.36405713E9</v>
      </c>
      <c r="Y38" s="8">
        <v>5175056.0</v>
      </c>
      <c r="Z38" s="8">
        <f t="shared" si="4"/>
        <v>2118441848</v>
      </c>
      <c r="AA38" s="7">
        <v>1508.0</v>
      </c>
      <c r="AB38" s="8">
        <v>1.0438366E7</v>
      </c>
      <c r="AC38" s="8">
        <v>1868579.0</v>
      </c>
      <c r="AD38" s="8">
        <v>0.0</v>
      </c>
      <c r="AE38" s="8">
        <v>1.4355233E7</v>
      </c>
      <c r="AF38" s="10">
        <f t="shared" si="5"/>
        <v>26662178</v>
      </c>
      <c r="AG38" s="8">
        <v>6.65672893E8</v>
      </c>
      <c r="AH38" s="8">
        <v>1.013954951E9</v>
      </c>
      <c r="AI38" s="8">
        <v>1529350.0</v>
      </c>
      <c r="AJ38" s="8">
        <f t="shared" si="6"/>
        <v>1681157194</v>
      </c>
    </row>
    <row r="39" ht="13.5" customHeight="1">
      <c r="A39" s="11">
        <v>38.0</v>
      </c>
      <c r="B39" s="12" t="s">
        <v>95</v>
      </c>
      <c r="C39" s="12" t="s">
        <v>44</v>
      </c>
      <c r="D39" s="6" t="s">
        <v>96</v>
      </c>
      <c r="E39" s="12">
        <v>2025.0</v>
      </c>
      <c r="F39" s="12">
        <v>19.2</v>
      </c>
      <c r="G39" s="7">
        <v>196.0</v>
      </c>
      <c r="H39" s="8">
        <v>1.5682698E7</v>
      </c>
      <c r="I39" s="8">
        <v>1.02710067E8</v>
      </c>
      <c r="J39" s="8">
        <v>9133487.0</v>
      </c>
      <c r="K39" s="8">
        <v>1.866696E7</v>
      </c>
      <c r="L39" s="8">
        <f t="shared" si="1"/>
        <v>146193212</v>
      </c>
      <c r="M39" s="8">
        <v>4.87410015E8</v>
      </c>
      <c r="N39" s="8">
        <v>7.53513171E8</v>
      </c>
      <c r="O39" s="8">
        <v>4.9523506E7</v>
      </c>
      <c r="P39" s="8">
        <f t="shared" si="2"/>
        <v>1290446692</v>
      </c>
      <c r="Q39" s="7">
        <v>176.0</v>
      </c>
      <c r="R39" s="8">
        <v>1.6658659E7</v>
      </c>
      <c r="S39" s="8">
        <v>1.06194076E8</v>
      </c>
      <c r="T39" s="8">
        <v>5152729.0</v>
      </c>
      <c r="U39" s="8">
        <v>5.8501746E7</v>
      </c>
      <c r="V39" s="8">
        <f t="shared" si="3"/>
        <v>186507210</v>
      </c>
      <c r="W39" s="8">
        <v>4.98042615E8</v>
      </c>
      <c r="X39" s="8">
        <v>3.81426442E8</v>
      </c>
      <c r="Y39" s="8">
        <v>1.0407213E7</v>
      </c>
      <c r="Z39" s="8">
        <f t="shared" si="4"/>
        <v>889876270</v>
      </c>
      <c r="AA39" s="7">
        <v>171.0</v>
      </c>
      <c r="AB39" s="8">
        <v>1.1658174E7</v>
      </c>
      <c r="AC39" s="8">
        <v>4.177926E7</v>
      </c>
      <c r="AD39" s="8">
        <v>1775260.0</v>
      </c>
      <c r="AE39" s="8">
        <v>3.3751307E7</v>
      </c>
      <c r="AF39" s="10">
        <f t="shared" si="5"/>
        <v>88964001</v>
      </c>
      <c r="AG39" s="8">
        <v>3.72675703E8</v>
      </c>
      <c r="AH39" s="8">
        <v>2.27020797E8</v>
      </c>
      <c r="AI39" s="8">
        <v>3679015.0</v>
      </c>
      <c r="AJ39" s="8">
        <f t="shared" si="6"/>
        <v>603375515</v>
      </c>
    </row>
    <row r="40" ht="13.5" customHeight="1">
      <c r="A40" s="11">
        <v>39.0</v>
      </c>
      <c r="B40" s="12" t="s">
        <v>97</v>
      </c>
      <c r="C40" s="12" t="s">
        <v>98</v>
      </c>
      <c r="D40" s="6" t="s">
        <v>73</v>
      </c>
      <c r="E40" s="12">
        <v>2025.0</v>
      </c>
      <c r="F40" s="12">
        <v>18.49</v>
      </c>
      <c r="G40" s="7">
        <v>335.0</v>
      </c>
      <c r="H40" s="8">
        <v>5.8806327E7</v>
      </c>
      <c r="I40" s="8">
        <v>8.3581192E7</v>
      </c>
      <c r="J40" s="8">
        <v>2198894.0</v>
      </c>
      <c r="K40" s="8">
        <v>7.7588886E7</v>
      </c>
      <c r="L40" s="8">
        <f t="shared" si="1"/>
        <v>222175299</v>
      </c>
      <c r="M40" s="8">
        <v>7.77904322E8</v>
      </c>
      <c r="N40" s="8">
        <v>8.20515583E8</v>
      </c>
      <c r="O40" s="8">
        <v>1.4004776E7</v>
      </c>
      <c r="P40" s="8">
        <f t="shared" si="2"/>
        <v>1612424681</v>
      </c>
      <c r="Q40" s="7">
        <v>303.0</v>
      </c>
      <c r="R40" s="8">
        <v>6.5953715E7</v>
      </c>
      <c r="S40" s="8">
        <v>1.62295181E8</v>
      </c>
      <c r="T40" s="8">
        <v>1.911829E7</v>
      </c>
      <c r="U40" s="8">
        <v>4.9849095E7</v>
      </c>
      <c r="V40" s="8">
        <f t="shared" si="3"/>
        <v>297216281</v>
      </c>
      <c r="W40" s="8">
        <v>5.81795856E8</v>
      </c>
      <c r="X40" s="8">
        <v>5.60022071E8</v>
      </c>
      <c r="Y40" s="8">
        <v>7116896.0</v>
      </c>
      <c r="Z40" s="8">
        <f t="shared" si="4"/>
        <v>1148934823</v>
      </c>
      <c r="AA40" s="7">
        <v>265.0</v>
      </c>
      <c r="AB40" s="8">
        <v>9.6036283E7</v>
      </c>
      <c r="AC40" s="8">
        <v>8.3246887E7</v>
      </c>
      <c r="AD40" s="8">
        <v>2.2133973E7</v>
      </c>
      <c r="AE40" s="8">
        <v>4.4266661E7</v>
      </c>
      <c r="AF40" s="10">
        <f t="shared" si="5"/>
        <v>245683804</v>
      </c>
      <c r="AG40" s="8">
        <v>4.81787058E8</v>
      </c>
      <c r="AH40" s="8">
        <v>4.89765903E8</v>
      </c>
      <c r="AI40" s="8">
        <v>3978935.0</v>
      </c>
      <c r="AJ40" s="8">
        <f t="shared" si="6"/>
        <v>975531896</v>
      </c>
    </row>
    <row r="41" ht="13.5" customHeight="1">
      <c r="A41" s="11">
        <v>40.0</v>
      </c>
      <c r="B41" s="12" t="s">
        <v>99</v>
      </c>
      <c r="C41" s="12" t="s">
        <v>100</v>
      </c>
      <c r="D41" s="6" t="s">
        <v>52</v>
      </c>
      <c r="E41" s="12">
        <v>2025.0</v>
      </c>
      <c r="F41" s="12">
        <v>14.07</v>
      </c>
      <c r="G41" s="7">
        <v>1916.0</v>
      </c>
      <c r="H41" s="8">
        <v>5.3456197E7</v>
      </c>
      <c r="I41" s="8">
        <v>2.74876645E8</v>
      </c>
      <c r="J41" s="8">
        <v>0.0</v>
      </c>
      <c r="K41" s="8">
        <v>5.04937398E8</v>
      </c>
      <c r="L41" s="8">
        <f t="shared" si="1"/>
        <v>833270240</v>
      </c>
      <c r="M41" s="8">
        <v>9.89495615E8</v>
      </c>
      <c r="N41" s="8">
        <v>1.752400187E9</v>
      </c>
      <c r="O41" s="8">
        <v>6.0095199E7</v>
      </c>
      <c r="P41" s="8">
        <f t="shared" si="2"/>
        <v>2801991001</v>
      </c>
      <c r="Q41" s="7">
        <v>1874.0</v>
      </c>
      <c r="R41" s="8">
        <v>4.1609405E7</v>
      </c>
      <c r="S41" s="8">
        <v>3.68850712E8</v>
      </c>
      <c r="T41" s="8">
        <v>0.0</v>
      </c>
      <c r="U41" s="8">
        <v>6.08823474E8</v>
      </c>
      <c r="V41" s="8">
        <f t="shared" si="3"/>
        <v>1019283591</v>
      </c>
      <c r="W41" s="8">
        <v>9.46520965E8</v>
      </c>
      <c r="X41" s="8">
        <v>8.00997322E8</v>
      </c>
      <c r="Y41" s="8">
        <v>5.1959861E7</v>
      </c>
      <c r="Z41" s="8">
        <f t="shared" si="4"/>
        <v>1799478148</v>
      </c>
      <c r="AA41" s="7">
        <v>1782.0</v>
      </c>
      <c r="AB41" s="8">
        <v>3.2427774E7</v>
      </c>
      <c r="AC41" s="8">
        <v>3.49427816E8</v>
      </c>
      <c r="AD41" s="8">
        <v>0.0</v>
      </c>
      <c r="AE41" s="8">
        <v>1.130851876E9</v>
      </c>
      <c r="AF41" s="10">
        <f t="shared" si="5"/>
        <v>1512707466</v>
      </c>
      <c r="AG41" s="8">
        <v>7.99670806E8</v>
      </c>
      <c r="AH41" s="8">
        <v>4.50969167E8</v>
      </c>
      <c r="AI41" s="8">
        <v>3.6436449E7</v>
      </c>
      <c r="AJ41" s="8">
        <f t="shared" si="6"/>
        <v>1287076422</v>
      </c>
    </row>
    <row r="42" ht="13.5" customHeight="1">
      <c r="A42" s="11">
        <v>41.0</v>
      </c>
      <c r="B42" s="12" t="s">
        <v>101</v>
      </c>
      <c r="C42" s="12" t="s">
        <v>40</v>
      </c>
      <c r="D42" s="6" t="s">
        <v>52</v>
      </c>
      <c r="E42" s="12">
        <v>2025.0</v>
      </c>
      <c r="F42" s="12">
        <v>18.3</v>
      </c>
      <c r="G42" s="7">
        <v>234.0</v>
      </c>
      <c r="H42" s="8">
        <v>1.552204E7</v>
      </c>
      <c r="I42" s="8">
        <v>2.11971151E8</v>
      </c>
      <c r="J42" s="8">
        <v>600000.0</v>
      </c>
      <c r="K42" s="8">
        <v>4.8935404E7</v>
      </c>
      <c r="L42" s="8">
        <f t="shared" si="1"/>
        <v>277028595</v>
      </c>
      <c r="M42" s="8">
        <v>6.51340282E8</v>
      </c>
      <c r="N42" s="8">
        <v>4.34746061E8</v>
      </c>
      <c r="O42" s="8">
        <v>1.8480747E7</v>
      </c>
      <c r="P42" s="8">
        <f t="shared" si="2"/>
        <v>1104567090</v>
      </c>
      <c r="Q42" s="7">
        <v>240.0</v>
      </c>
      <c r="R42" s="8">
        <v>2.3889715E7</v>
      </c>
      <c r="S42" s="8">
        <v>2.50796339E8</v>
      </c>
      <c r="T42" s="8">
        <v>960097.0</v>
      </c>
      <c r="U42" s="8">
        <v>3.8870514E7</v>
      </c>
      <c r="V42" s="8">
        <f t="shared" si="3"/>
        <v>314516665</v>
      </c>
      <c r="W42" s="8">
        <v>6.08211455E8</v>
      </c>
      <c r="X42" s="8">
        <v>3.70329734E8</v>
      </c>
      <c r="Y42" s="8">
        <v>9639097.0</v>
      </c>
      <c r="Z42" s="8">
        <f t="shared" si="4"/>
        <v>988180286</v>
      </c>
      <c r="AA42" s="7">
        <v>226.0</v>
      </c>
      <c r="AB42" s="8">
        <v>8463850.0</v>
      </c>
      <c r="AC42" s="8">
        <v>1.86985003E8</v>
      </c>
      <c r="AD42" s="8">
        <v>700000.0</v>
      </c>
      <c r="AE42" s="8">
        <v>4.072798E7</v>
      </c>
      <c r="AF42" s="10">
        <f t="shared" si="5"/>
        <v>236876833</v>
      </c>
      <c r="AG42" s="8">
        <v>5.13672772E8</v>
      </c>
      <c r="AH42" s="8">
        <v>3.80966888E8</v>
      </c>
      <c r="AI42" s="8">
        <v>8311523.0</v>
      </c>
      <c r="AJ42" s="8">
        <f t="shared" si="6"/>
        <v>902951183</v>
      </c>
    </row>
    <row r="43" ht="13.5" customHeight="1">
      <c r="A43" s="11">
        <v>42.0</v>
      </c>
      <c r="B43" s="12" t="s">
        <v>102</v>
      </c>
      <c r="C43" s="12" t="s">
        <v>103</v>
      </c>
      <c r="D43" s="6" t="s">
        <v>73</v>
      </c>
      <c r="E43" s="12">
        <v>2025.0</v>
      </c>
      <c r="F43" s="12">
        <v>14.9</v>
      </c>
      <c r="G43" s="7">
        <v>845.0</v>
      </c>
      <c r="H43" s="8">
        <v>3.8684085E7</v>
      </c>
      <c r="I43" s="8">
        <v>1.42278762E8</v>
      </c>
      <c r="J43" s="8">
        <v>5608988.0</v>
      </c>
      <c r="K43" s="8">
        <v>1.5689446E8</v>
      </c>
      <c r="L43" s="8">
        <f t="shared" si="1"/>
        <v>343466295</v>
      </c>
      <c r="M43" s="8">
        <v>1.041118223E9</v>
      </c>
      <c r="N43" s="8">
        <v>6.45896852E8</v>
      </c>
      <c r="O43" s="8">
        <v>9474702.0</v>
      </c>
      <c r="P43" s="8">
        <f t="shared" si="2"/>
        <v>1696489777</v>
      </c>
      <c r="Q43" s="7">
        <v>824.0</v>
      </c>
      <c r="R43" s="8">
        <v>3.265181E7</v>
      </c>
      <c r="S43" s="8">
        <v>1.93477394E8</v>
      </c>
      <c r="T43" s="8">
        <v>0.0</v>
      </c>
      <c r="U43" s="8">
        <v>5.1000323E7</v>
      </c>
      <c r="V43" s="8">
        <f t="shared" si="3"/>
        <v>277129527</v>
      </c>
      <c r="W43" s="8">
        <v>9.65795213E8</v>
      </c>
      <c r="X43" s="8">
        <v>3.92491683E8</v>
      </c>
      <c r="Y43" s="8">
        <v>7393224.0</v>
      </c>
      <c r="Z43" s="8">
        <f t="shared" si="4"/>
        <v>1365680120</v>
      </c>
      <c r="AA43" s="7">
        <v>698.0</v>
      </c>
      <c r="AB43" s="8">
        <v>1.5943756E7</v>
      </c>
      <c r="AC43" s="8">
        <v>1.7688747E7</v>
      </c>
      <c r="AD43" s="8">
        <v>0.0</v>
      </c>
      <c r="AE43" s="8">
        <v>1.7594468E7</v>
      </c>
      <c r="AF43" s="10">
        <f t="shared" si="5"/>
        <v>51226971</v>
      </c>
      <c r="AG43" s="8">
        <v>9.17948614E8</v>
      </c>
      <c r="AH43" s="8">
        <v>3.99517947E8</v>
      </c>
      <c r="AI43" s="8">
        <v>3258801.0</v>
      </c>
      <c r="AJ43" s="8">
        <f t="shared" si="6"/>
        <v>1320725362</v>
      </c>
    </row>
    <row r="44" ht="13.5" customHeight="1">
      <c r="A44" s="11">
        <v>43.0</v>
      </c>
      <c r="B44" s="12" t="s">
        <v>104</v>
      </c>
      <c r="C44" s="12" t="s">
        <v>105</v>
      </c>
      <c r="D44" s="6" t="s">
        <v>80</v>
      </c>
      <c r="E44" s="12">
        <v>2025.0</v>
      </c>
      <c r="F44" s="12">
        <v>16.99</v>
      </c>
      <c r="G44" s="7">
        <v>1505.0</v>
      </c>
      <c r="H44" s="8">
        <v>1.36684119E8</v>
      </c>
      <c r="I44" s="8">
        <v>5.3500388E7</v>
      </c>
      <c r="J44" s="8">
        <v>2232560.0</v>
      </c>
      <c r="K44" s="8">
        <v>5.5554978E7</v>
      </c>
      <c r="L44" s="8">
        <f t="shared" si="1"/>
        <v>247972045</v>
      </c>
      <c r="M44" s="8">
        <v>1.28346159E9</v>
      </c>
      <c r="N44" s="8">
        <v>1.890405155E9</v>
      </c>
      <c r="O44" s="8">
        <v>2.4269169E7</v>
      </c>
      <c r="P44" s="8">
        <f t="shared" si="2"/>
        <v>3198135914</v>
      </c>
      <c r="Q44" s="7">
        <v>989.0</v>
      </c>
      <c r="R44" s="8">
        <v>8.7250214E7</v>
      </c>
      <c r="S44" s="8">
        <v>6.3060587E7</v>
      </c>
      <c r="T44" s="8">
        <v>1.8561117E7</v>
      </c>
      <c r="U44" s="8">
        <v>2.5600625E7</v>
      </c>
      <c r="V44" s="8">
        <f t="shared" si="3"/>
        <v>194472543</v>
      </c>
      <c r="W44" s="8">
        <v>1.075618127E9</v>
      </c>
      <c r="X44" s="8">
        <v>1.462340612E9</v>
      </c>
      <c r="Y44" s="8">
        <v>1.70483E7</v>
      </c>
      <c r="Z44" s="8">
        <f t="shared" si="4"/>
        <v>2555007039</v>
      </c>
      <c r="AA44" s="7">
        <v>1698.0</v>
      </c>
      <c r="AB44" s="8">
        <v>6.0114972E7</v>
      </c>
      <c r="AC44" s="8">
        <v>1.1268579E7</v>
      </c>
      <c r="AD44" s="8">
        <v>904099.0</v>
      </c>
      <c r="AE44" s="8">
        <v>1.306239E7</v>
      </c>
      <c r="AF44" s="10">
        <f t="shared" si="5"/>
        <v>85350040</v>
      </c>
      <c r="AG44" s="8">
        <v>1.127151987E9</v>
      </c>
      <c r="AH44" s="8">
        <v>7.97398984E8</v>
      </c>
      <c r="AI44" s="8">
        <v>7345420.0</v>
      </c>
      <c r="AJ44" s="8">
        <f t="shared" si="6"/>
        <v>1931896391</v>
      </c>
    </row>
    <row r="45" ht="13.5" customHeight="1">
      <c r="A45" s="11">
        <v>44.0</v>
      </c>
      <c r="B45" s="12" t="s">
        <v>106</v>
      </c>
      <c r="C45" s="12" t="s">
        <v>107</v>
      </c>
      <c r="D45" s="6" t="s">
        <v>73</v>
      </c>
      <c r="E45" s="12">
        <v>2025.0</v>
      </c>
      <c r="F45" s="12">
        <v>16.73</v>
      </c>
      <c r="G45" s="7">
        <v>867.0</v>
      </c>
      <c r="H45" s="8">
        <v>1.9290528E7</v>
      </c>
      <c r="I45" s="8">
        <v>5.9553885E7</v>
      </c>
      <c r="J45" s="8">
        <v>282807.0</v>
      </c>
      <c r="K45" s="8">
        <v>1.86554266E8</v>
      </c>
      <c r="L45" s="8">
        <f t="shared" si="1"/>
        <v>265681486</v>
      </c>
      <c r="M45" s="8">
        <v>1.518689584E9</v>
      </c>
      <c r="N45" s="8">
        <v>6.50091324E8</v>
      </c>
      <c r="O45" s="8">
        <v>2.9081862E7</v>
      </c>
      <c r="P45" s="8">
        <f t="shared" si="2"/>
        <v>2197862770</v>
      </c>
      <c r="Q45" s="7">
        <v>857.0</v>
      </c>
      <c r="R45" s="8">
        <v>1.7956541E7</v>
      </c>
      <c r="S45" s="8">
        <v>5.5750472E7</v>
      </c>
      <c r="T45" s="8">
        <v>5243056.0</v>
      </c>
      <c r="U45" s="8">
        <v>2.46939086E8</v>
      </c>
      <c r="V45" s="8">
        <f t="shared" si="3"/>
        <v>325889155</v>
      </c>
      <c r="W45" s="8">
        <v>1.198333666E9</v>
      </c>
      <c r="X45" s="8">
        <v>3.53313663E8</v>
      </c>
      <c r="Y45" s="8">
        <v>3.04758E7</v>
      </c>
      <c r="Z45" s="8">
        <f t="shared" si="4"/>
        <v>1582123129</v>
      </c>
      <c r="AA45" s="7">
        <v>878.0</v>
      </c>
      <c r="AB45" s="8">
        <v>2.5165401E7</v>
      </c>
      <c r="AC45" s="8">
        <v>7.9557701E7</v>
      </c>
      <c r="AD45" s="8">
        <v>963000.0</v>
      </c>
      <c r="AE45" s="8">
        <v>2.76492532E8</v>
      </c>
      <c r="AF45" s="10">
        <f t="shared" si="5"/>
        <v>382178634</v>
      </c>
      <c r="AG45" s="8">
        <v>1.036408787E9</v>
      </c>
      <c r="AH45" s="8">
        <v>3.04676693E8</v>
      </c>
      <c r="AI45" s="8">
        <v>5371544.0</v>
      </c>
      <c r="AJ45" s="8">
        <f t="shared" si="6"/>
        <v>1346457024</v>
      </c>
    </row>
    <row r="46" ht="13.5" customHeight="1">
      <c r="A46" s="11">
        <v>45.0</v>
      </c>
      <c r="B46" s="15" t="s">
        <v>108</v>
      </c>
      <c r="C46" s="12" t="s">
        <v>37</v>
      </c>
      <c r="D46" s="6" t="s">
        <v>52</v>
      </c>
      <c r="E46" s="12">
        <v>2025.0</v>
      </c>
      <c r="F46" s="12">
        <v>9.76</v>
      </c>
      <c r="G46" s="7">
        <v>1320.0</v>
      </c>
      <c r="H46" s="8">
        <v>5.6250114E7</v>
      </c>
      <c r="I46" s="8">
        <v>7.7775934E7</v>
      </c>
      <c r="J46" s="8">
        <v>1.10294342E8</v>
      </c>
      <c r="K46" s="8">
        <v>4.5955976E7</v>
      </c>
      <c r="L46" s="8">
        <f t="shared" si="1"/>
        <v>290276366</v>
      </c>
      <c r="M46" s="8">
        <v>9.01997227E8</v>
      </c>
      <c r="N46" s="8">
        <v>6.74529311E8</v>
      </c>
      <c r="O46" s="8">
        <v>2408470.0</v>
      </c>
      <c r="P46" s="8">
        <f t="shared" si="2"/>
        <v>1578935008</v>
      </c>
      <c r="Q46" s="7">
        <v>1320.0</v>
      </c>
      <c r="R46" s="8">
        <v>1.665266E7</v>
      </c>
      <c r="S46" s="8">
        <v>4.5306023E7</v>
      </c>
      <c r="T46" s="8">
        <v>5.5476626E7</v>
      </c>
      <c r="U46" s="8">
        <v>1.9977254E7</v>
      </c>
      <c r="V46" s="8">
        <f t="shared" si="3"/>
        <v>137412563</v>
      </c>
      <c r="W46" s="8">
        <v>5.19225355E8</v>
      </c>
      <c r="X46" s="8">
        <v>2.07938958E8</v>
      </c>
      <c r="Y46" s="8">
        <v>2916727.0</v>
      </c>
      <c r="Z46" s="8">
        <f t="shared" si="4"/>
        <v>730081040</v>
      </c>
      <c r="AA46" s="7">
        <v>1320.0</v>
      </c>
      <c r="AB46" s="8">
        <v>9592069.0</v>
      </c>
      <c r="AC46" s="8">
        <v>5.185912E7</v>
      </c>
      <c r="AD46" s="8">
        <v>4.3947066E7</v>
      </c>
      <c r="AE46" s="8">
        <v>1.8789499E7</v>
      </c>
      <c r="AF46" s="10">
        <f t="shared" si="5"/>
        <v>124187754</v>
      </c>
      <c r="AG46" s="8">
        <v>4.15380284E8</v>
      </c>
      <c r="AH46" s="8">
        <v>6.39645115E8</v>
      </c>
      <c r="AI46" s="8">
        <v>6676109.0</v>
      </c>
      <c r="AJ46" s="8">
        <f t="shared" si="6"/>
        <v>1061701508</v>
      </c>
    </row>
    <row r="47" ht="13.5" customHeight="1">
      <c r="A47" s="11">
        <v>46.0</v>
      </c>
      <c r="B47" s="12" t="s">
        <v>109</v>
      </c>
      <c r="C47" s="12" t="s">
        <v>110</v>
      </c>
      <c r="D47" s="6" t="s">
        <v>52</v>
      </c>
      <c r="E47" s="12">
        <v>2025.0</v>
      </c>
      <c r="F47" s="12">
        <v>13.5</v>
      </c>
      <c r="G47" s="7">
        <v>429.0</v>
      </c>
      <c r="H47" s="8">
        <v>1.4693094E7</v>
      </c>
      <c r="I47" s="8">
        <v>5.6669591E7</v>
      </c>
      <c r="J47" s="8">
        <v>2.7446256E7</v>
      </c>
      <c r="K47" s="8">
        <v>2603705.0</v>
      </c>
      <c r="L47" s="8">
        <f t="shared" si="1"/>
        <v>101412646</v>
      </c>
      <c r="M47" s="8">
        <v>3.74532677E8</v>
      </c>
      <c r="N47" s="8">
        <v>4.68833236E8</v>
      </c>
      <c r="O47" s="8">
        <v>1.9432977E7</v>
      </c>
      <c r="P47" s="8">
        <f t="shared" si="2"/>
        <v>862798890</v>
      </c>
      <c r="Q47" s="7">
        <v>447.0</v>
      </c>
      <c r="R47" s="8">
        <v>1.2534753E7</v>
      </c>
      <c r="S47" s="8">
        <v>1.62442431E8</v>
      </c>
      <c r="T47" s="8">
        <v>1.9806974E7</v>
      </c>
      <c r="U47" s="8">
        <v>6199749.0</v>
      </c>
      <c r="V47" s="8">
        <f t="shared" si="3"/>
        <v>200983907</v>
      </c>
      <c r="W47" s="8">
        <v>2.93520411E8</v>
      </c>
      <c r="X47" s="8">
        <v>3.97371607E8</v>
      </c>
      <c r="Y47" s="8">
        <v>1.3592314E7</v>
      </c>
      <c r="Z47" s="8">
        <f t="shared" si="4"/>
        <v>704484332</v>
      </c>
      <c r="AA47" s="7">
        <v>469.0</v>
      </c>
      <c r="AB47" s="8">
        <v>1.325796E7</v>
      </c>
      <c r="AC47" s="8">
        <v>2.5889258E7</v>
      </c>
      <c r="AD47" s="8">
        <v>9114657.0</v>
      </c>
      <c r="AE47" s="8">
        <v>138472.0</v>
      </c>
      <c r="AF47" s="10">
        <f t="shared" si="5"/>
        <v>48400347</v>
      </c>
      <c r="AG47" s="8">
        <v>1.99114619E8</v>
      </c>
      <c r="AH47" s="8">
        <v>2.15248711E8</v>
      </c>
      <c r="AI47" s="8">
        <v>5799843.0</v>
      </c>
      <c r="AJ47" s="8">
        <f t="shared" si="6"/>
        <v>420163173</v>
      </c>
    </row>
    <row r="48" ht="13.5" customHeight="1">
      <c r="A48" s="11">
        <v>47.0</v>
      </c>
      <c r="B48" s="15" t="s">
        <v>111</v>
      </c>
      <c r="C48" s="12" t="s">
        <v>112</v>
      </c>
      <c r="D48" s="6" t="s">
        <v>80</v>
      </c>
      <c r="E48" s="12">
        <v>2025.0</v>
      </c>
      <c r="F48" s="12">
        <v>14.5</v>
      </c>
      <c r="G48" s="7">
        <v>802.0</v>
      </c>
      <c r="H48" s="8">
        <v>7236493.0</v>
      </c>
      <c r="I48" s="8">
        <v>4.4722965E7</v>
      </c>
      <c r="J48" s="8">
        <v>5441176.0</v>
      </c>
      <c r="K48" s="8">
        <v>8.2493126E7</v>
      </c>
      <c r="L48" s="8">
        <f t="shared" si="1"/>
        <v>139893760</v>
      </c>
      <c r="M48" s="8">
        <v>7.94937552E8</v>
      </c>
      <c r="N48" s="8">
        <v>4.70679351E8</v>
      </c>
      <c r="O48" s="8">
        <v>5248874.0</v>
      </c>
      <c r="P48" s="8">
        <f t="shared" si="2"/>
        <v>1270865777</v>
      </c>
      <c r="Q48" s="7">
        <v>842.0</v>
      </c>
      <c r="R48" s="8">
        <v>6725849.0</v>
      </c>
      <c r="S48" s="8">
        <v>3.5256454E7</v>
      </c>
      <c r="T48" s="8">
        <v>3018913.0</v>
      </c>
      <c r="U48" s="8">
        <v>6.6917321E7</v>
      </c>
      <c r="V48" s="8">
        <f t="shared" si="3"/>
        <v>111918537</v>
      </c>
      <c r="W48" s="8">
        <v>7.30218381E8</v>
      </c>
      <c r="X48" s="8">
        <v>4.48776893E8</v>
      </c>
      <c r="Y48" s="8">
        <v>1.1619831E7</v>
      </c>
      <c r="Z48" s="8">
        <f t="shared" si="4"/>
        <v>1190615105</v>
      </c>
      <c r="AA48" s="7">
        <v>1025.0</v>
      </c>
      <c r="AB48" s="8">
        <v>6454349.0</v>
      </c>
      <c r="AC48" s="8">
        <v>2.7910253E7</v>
      </c>
      <c r="AD48" s="8">
        <v>1910329.0</v>
      </c>
      <c r="AE48" s="8">
        <v>6.6125402E7</v>
      </c>
      <c r="AF48" s="10">
        <f t="shared" si="5"/>
        <v>102400333</v>
      </c>
      <c r="AG48" s="8">
        <v>6.86265057E8</v>
      </c>
      <c r="AH48" s="8">
        <v>3.88490704E8</v>
      </c>
      <c r="AI48" s="8">
        <v>6515396.0</v>
      </c>
      <c r="AJ48" s="8">
        <f t="shared" si="6"/>
        <v>1081271157</v>
      </c>
    </row>
    <row r="49" ht="13.5" customHeight="1">
      <c r="A49" s="11">
        <v>48.0</v>
      </c>
      <c r="B49" s="12" t="s">
        <v>113</v>
      </c>
      <c r="C49" s="12" t="s">
        <v>114</v>
      </c>
      <c r="D49" s="6" t="s">
        <v>80</v>
      </c>
      <c r="E49" s="12">
        <v>2025.0</v>
      </c>
      <c r="F49" s="12">
        <v>7.08</v>
      </c>
      <c r="G49" s="7">
        <v>4213.0</v>
      </c>
      <c r="H49" s="8">
        <v>2.9392547E7</v>
      </c>
      <c r="I49" s="8">
        <v>2.732711E7</v>
      </c>
      <c r="J49" s="8">
        <v>137450.0</v>
      </c>
      <c r="K49" s="8">
        <v>4.5720351E7</v>
      </c>
      <c r="L49" s="8">
        <f t="shared" si="1"/>
        <v>102577458</v>
      </c>
      <c r="M49" s="8">
        <v>1.127530192E9</v>
      </c>
      <c r="N49" s="8">
        <v>1.014429436E9</v>
      </c>
      <c r="O49" s="8">
        <v>3346264.0</v>
      </c>
      <c r="P49" s="8">
        <f t="shared" si="2"/>
        <v>2145305892</v>
      </c>
      <c r="Q49" s="7">
        <v>3911.0</v>
      </c>
      <c r="R49" s="8">
        <v>6.0063085E7</v>
      </c>
      <c r="S49" s="8">
        <v>3.6741692E7</v>
      </c>
      <c r="T49" s="8">
        <v>128770.0</v>
      </c>
      <c r="U49" s="8">
        <v>5.638739E7</v>
      </c>
      <c r="V49" s="8">
        <f t="shared" si="3"/>
        <v>153320937</v>
      </c>
      <c r="W49" s="8">
        <v>1.060907169E9</v>
      </c>
      <c r="X49" s="8">
        <v>7.13392897E8</v>
      </c>
      <c r="Y49" s="8">
        <v>3984502.0</v>
      </c>
      <c r="Z49" s="8">
        <f t="shared" si="4"/>
        <v>1778284568</v>
      </c>
      <c r="AA49" s="7">
        <v>3365.0</v>
      </c>
      <c r="AB49" s="8">
        <v>2.7160432E7</v>
      </c>
      <c r="AC49" s="8">
        <v>1.4509224E7</v>
      </c>
      <c r="AD49" s="8">
        <v>0.0</v>
      </c>
      <c r="AE49" s="8">
        <v>1.7266195E7</v>
      </c>
      <c r="AF49" s="10">
        <f t="shared" si="5"/>
        <v>58935851</v>
      </c>
      <c r="AG49" s="8">
        <v>8.37290558E8</v>
      </c>
      <c r="AH49" s="8">
        <v>7.34474366E8</v>
      </c>
      <c r="AI49" s="8">
        <v>1932387.0</v>
      </c>
      <c r="AJ49" s="8">
        <f t="shared" si="6"/>
        <v>1573697311</v>
      </c>
    </row>
    <row r="50" ht="13.5" customHeight="1">
      <c r="A50" s="11">
        <v>49.0</v>
      </c>
      <c r="B50" s="12" t="s">
        <v>115</v>
      </c>
      <c r="C50" s="12" t="s">
        <v>116</v>
      </c>
      <c r="D50" s="6" t="s">
        <v>73</v>
      </c>
      <c r="E50" s="12">
        <v>2025.0</v>
      </c>
      <c r="F50" s="12">
        <v>15.67</v>
      </c>
      <c r="G50" s="7">
        <v>873.0</v>
      </c>
      <c r="H50" s="8">
        <v>1.04695E8</v>
      </c>
      <c r="I50" s="8">
        <v>3.4653626E7</v>
      </c>
      <c r="J50" s="8">
        <v>0.0</v>
      </c>
      <c r="K50" s="8">
        <v>2.7594E7</v>
      </c>
      <c r="L50" s="8">
        <f t="shared" si="1"/>
        <v>166942626</v>
      </c>
      <c r="M50" s="8">
        <v>1.346277937E9</v>
      </c>
      <c r="N50" s="8">
        <v>3.36276063E8</v>
      </c>
      <c r="O50" s="8">
        <v>1134096.0</v>
      </c>
      <c r="P50" s="8">
        <f t="shared" si="2"/>
        <v>1683688096</v>
      </c>
      <c r="Q50" s="7">
        <v>777.0</v>
      </c>
      <c r="R50" s="8">
        <v>1.02063587E8</v>
      </c>
      <c r="S50" s="8">
        <v>9.024498E7</v>
      </c>
      <c r="T50" s="8">
        <v>0.0</v>
      </c>
      <c r="U50" s="8">
        <v>5.0204938E7</v>
      </c>
      <c r="V50" s="8">
        <f t="shared" si="3"/>
        <v>242513505</v>
      </c>
      <c r="W50" s="8">
        <v>1.132043313E9</v>
      </c>
      <c r="X50" s="8">
        <v>3.89765365E8</v>
      </c>
      <c r="Y50" s="8">
        <v>846724.0</v>
      </c>
      <c r="Z50" s="8">
        <f t="shared" si="4"/>
        <v>1522655402</v>
      </c>
      <c r="AA50" s="7">
        <v>697.0</v>
      </c>
      <c r="AB50" s="8">
        <v>6.4127625E7</v>
      </c>
      <c r="AC50" s="8">
        <v>5.2083144E7</v>
      </c>
      <c r="AD50" s="8">
        <v>1250000.0</v>
      </c>
      <c r="AE50" s="8">
        <v>4.4522568E7</v>
      </c>
      <c r="AF50" s="10">
        <f t="shared" si="5"/>
        <v>161983337</v>
      </c>
      <c r="AG50" s="8">
        <v>1.098033571E9</v>
      </c>
      <c r="AH50" s="8">
        <v>4.09227504E8</v>
      </c>
      <c r="AI50" s="8">
        <v>2044770.0</v>
      </c>
      <c r="AJ50" s="8">
        <f t="shared" si="6"/>
        <v>1509305845</v>
      </c>
    </row>
    <row r="51" ht="13.5" customHeight="1">
      <c r="A51" s="11">
        <v>50.0</v>
      </c>
      <c r="B51" s="12" t="s">
        <v>117</v>
      </c>
      <c r="C51" s="12" t="s">
        <v>118</v>
      </c>
      <c r="D51" s="6" t="s">
        <v>73</v>
      </c>
      <c r="E51" s="12">
        <v>2025.0</v>
      </c>
      <c r="F51" s="12">
        <v>15.06</v>
      </c>
      <c r="G51" s="7">
        <v>915.0</v>
      </c>
      <c r="H51" s="8">
        <v>8.85606E7</v>
      </c>
      <c r="I51" s="8">
        <v>7.7580942E7</v>
      </c>
      <c r="J51" s="8">
        <v>4.4365986E7</v>
      </c>
      <c r="K51" s="8">
        <v>5.2186849E7</v>
      </c>
      <c r="L51" s="8">
        <f t="shared" si="1"/>
        <v>262694377</v>
      </c>
      <c r="M51" s="8">
        <v>8.90373102E8</v>
      </c>
      <c r="N51" s="8">
        <v>5.21900561E8</v>
      </c>
      <c r="O51" s="8">
        <v>2.9587637E7</v>
      </c>
      <c r="P51" s="8">
        <f t="shared" si="2"/>
        <v>1441861300</v>
      </c>
      <c r="Q51" s="7">
        <v>868.0</v>
      </c>
      <c r="R51" s="8">
        <v>8.4602832E7</v>
      </c>
      <c r="S51" s="8">
        <v>7.3671825E7</v>
      </c>
      <c r="T51" s="8">
        <v>3.397029E7</v>
      </c>
      <c r="U51" s="8">
        <v>4.8461935E7</v>
      </c>
      <c r="V51" s="8">
        <f t="shared" si="3"/>
        <v>240706882</v>
      </c>
      <c r="W51" s="8">
        <v>8.07348905E8</v>
      </c>
      <c r="X51" s="8">
        <v>4.45997512E8</v>
      </c>
      <c r="Y51" s="8">
        <v>2.7954134E7</v>
      </c>
      <c r="Z51" s="8">
        <f t="shared" si="4"/>
        <v>1281300551</v>
      </c>
      <c r="AA51" s="7">
        <v>688.0</v>
      </c>
      <c r="AB51" s="8">
        <v>7.6142442E7</v>
      </c>
      <c r="AC51" s="8">
        <v>6.9765676E7</v>
      </c>
      <c r="AD51" s="8">
        <v>3.2419148E7</v>
      </c>
      <c r="AE51" s="8">
        <v>4.4063602E7</v>
      </c>
      <c r="AF51" s="10">
        <f t="shared" si="5"/>
        <v>222390868</v>
      </c>
      <c r="AG51" s="8">
        <v>6.872604E8</v>
      </c>
      <c r="AH51" s="8">
        <v>4.20066763E8</v>
      </c>
      <c r="AI51" s="8">
        <v>1.7602092E7</v>
      </c>
      <c r="AJ51" s="8">
        <f t="shared" si="6"/>
        <v>1124929255</v>
      </c>
    </row>
    <row r="52" ht="13.5" customHeight="1">
      <c r="A52" s="11">
        <v>51.0</v>
      </c>
      <c r="B52" s="12" t="s">
        <v>119</v>
      </c>
      <c r="C52" s="12" t="s">
        <v>120</v>
      </c>
      <c r="D52" s="6" t="s">
        <v>52</v>
      </c>
      <c r="E52" s="12">
        <v>2025.0</v>
      </c>
      <c r="F52" s="12">
        <v>15.72</v>
      </c>
      <c r="G52" s="7">
        <v>745.0</v>
      </c>
      <c r="H52" s="8">
        <v>1.3441211E7</v>
      </c>
      <c r="I52" s="8">
        <v>2.56623042E8</v>
      </c>
      <c r="J52" s="8">
        <v>1.0490921E7</v>
      </c>
      <c r="K52" s="8">
        <v>3.5284852E7</v>
      </c>
      <c r="L52" s="8">
        <f t="shared" si="1"/>
        <v>315840026</v>
      </c>
      <c r="M52" s="8">
        <v>1.196253076E9</v>
      </c>
      <c r="N52" s="8">
        <v>3.5011847E8</v>
      </c>
      <c r="O52" s="8">
        <v>3331318.0</v>
      </c>
      <c r="P52" s="8">
        <f t="shared" si="2"/>
        <v>1549702864</v>
      </c>
      <c r="Q52" s="7">
        <v>720.0</v>
      </c>
      <c r="R52" s="8">
        <v>1.8357621E7</v>
      </c>
      <c r="S52" s="8">
        <v>1.50421291E8</v>
      </c>
      <c r="T52" s="8">
        <v>3547923.0</v>
      </c>
      <c r="U52" s="8">
        <v>2.6550231E7</v>
      </c>
      <c r="V52" s="8">
        <f t="shared" si="3"/>
        <v>198877066</v>
      </c>
      <c r="W52" s="8">
        <v>1.051838446E9</v>
      </c>
      <c r="X52" s="8">
        <v>2.97255363E8</v>
      </c>
      <c r="Y52" s="8">
        <v>6824995.0</v>
      </c>
      <c r="Z52" s="8">
        <f t="shared" si="4"/>
        <v>1355918804</v>
      </c>
      <c r="AA52" s="7">
        <v>719.0</v>
      </c>
      <c r="AB52" s="8">
        <v>1.6714751E7</v>
      </c>
      <c r="AC52" s="8">
        <v>9.4116444E7</v>
      </c>
      <c r="AD52" s="8">
        <v>1265367.0</v>
      </c>
      <c r="AE52" s="8">
        <v>3.9805755E7</v>
      </c>
      <c r="AF52" s="10">
        <f t="shared" si="5"/>
        <v>151902317</v>
      </c>
      <c r="AG52" s="8">
        <v>8.37287017E8</v>
      </c>
      <c r="AH52" s="8">
        <v>2.28608804E8</v>
      </c>
      <c r="AI52" s="8">
        <v>770615.0</v>
      </c>
      <c r="AJ52" s="8">
        <f t="shared" si="6"/>
        <v>1066666436</v>
      </c>
    </row>
    <row r="53" ht="13.5" customHeight="1">
      <c r="A53" s="11">
        <v>52.0</v>
      </c>
      <c r="B53" s="12" t="s">
        <v>121</v>
      </c>
      <c r="C53" s="12" t="s">
        <v>105</v>
      </c>
      <c r="D53" s="6" t="s">
        <v>80</v>
      </c>
      <c r="E53" s="12">
        <v>2025.0</v>
      </c>
      <c r="F53" s="12">
        <v>11.97</v>
      </c>
      <c r="G53" s="7">
        <v>1118.0</v>
      </c>
      <c r="H53" s="8">
        <v>1.18384387E8</v>
      </c>
      <c r="I53" s="8">
        <v>5784450.0</v>
      </c>
      <c r="J53" s="8">
        <v>5051514.0</v>
      </c>
      <c r="K53" s="8">
        <v>6.0474868E7</v>
      </c>
      <c r="L53" s="8">
        <f t="shared" si="1"/>
        <v>189695219</v>
      </c>
      <c r="M53" s="8">
        <v>6.69728471E8</v>
      </c>
      <c r="N53" s="8">
        <v>3.62141597E8</v>
      </c>
      <c r="O53" s="8">
        <v>8146682.0</v>
      </c>
      <c r="P53" s="8">
        <f t="shared" si="2"/>
        <v>1040016750</v>
      </c>
      <c r="Q53" s="7">
        <v>1188.0</v>
      </c>
      <c r="R53" s="8">
        <v>7.2011823E7</v>
      </c>
      <c r="S53" s="8">
        <v>4.6107863E7</v>
      </c>
      <c r="T53" s="8">
        <v>3362216.0</v>
      </c>
      <c r="U53" s="8">
        <v>1.0959217E7</v>
      </c>
      <c r="V53" s="8">
        <f t="shared" si="3"/>
        <v>132441119</v>
      </c>
      <c r="W53" s="8">
        <v>4.56266488E8</v>
      </c>
      <c r="X53" s="8">
        <v>2.95646204E8</v>
      </c>
      <c r="Y53" s="8">
        <v>4543271.0</v>
      </c>
      <c r="Z53" s="8">
        <f t="shared" si="4"/>
        <v>756455963</v>
      </c>
      <c r="AA53" s="7">
        <v>924.0</v>
      </c>
      <c r="AB53" s="8">
        <v>1.9053E7</v>
      </c>
      <c r="AC53" s="8">
        <v>2.95497314E8</v>
      </c>
      <c r="AD53" s="8">
        <v>7054000.0</v>
      </c>
      <c r="AE53" s="8">
        <v>1.37567E7</v>
      </c>
      <c r="AF53" s="10">
        <f t="shared" si="5"/>
        <v>335361014</v>
      </c>
      <c r="AG53" s="8">
        <v>3.80782E8</v>
      </c>
      <c r="AH53" s="8">
        <v>6.07590315E8</v>
      </c>
      <c r="AI53" s="8">
        <v>2076478.0</v>
      </c>
      <c r="AJ53" s="8">
        <f t="shared" si="6"/>
        <v>990448793</v>
      </c>
    </row>
    <row r="54" ht="13.5" customHeight="1">
      <c r="A54" s="11">
        <v>53.0</v>
      </c>
      <c r="B54" s="12" t="s">
        <v>122</v>
      </c>
      <c r="C54" s="12" t="s">
        <v>64</v>
      </c>
      <c r="D54" s="6" t="s">
        <v>73</v>
      </c>
      <c r="E54" s="12">
        <v>2025.0</v>
      </c>
      <c r="F54" s="12">
        <v>13.5</v>
      </c>
      <c r="G54" s="7">
        <v>757.0</v>
      </c>
      <c r="H54" s="8">
        <v>1.904316E7</v>
      </c>
      <c r="I54" s="8">
        <v>3.8361122E7</v>
      </c>
      <c r="J54" s="8">
        <v>0.0</v>
      </c>
      <c r="K54" s="8">
        <v>4.821494E7</v>
      </c>
      <c r="L54" s="8">
        <f t="shared" si="1"/>
        <v>105619222</v>
      </c>
      <c r="M54" s="8">
        <v>6.82650917E8</v>
      </c>
      <c r="N54" s="8">
        <v>4.16759074E8</v>
      </c>
      <c r="O54" s="8">
        <v>9733738.0</v>
      </c>
      <c r="P54" s="8">
        <f t="shared" si="2"/>
        <v>1109143729</v>
      </c>
      <c r="Q54" s="7">
        <v>631.0</v>
      </c>
      <c r="R54" s="8">
        <v>2.5380636E7</v>
      </c>
      <c r="S54" s="8">
        <v>7611992.0</v>
      </c>
      <c r="T54" s="8">
        <v>159680.0</v>
      </c>
      <c r="U54" s="8">
        <v>1.8966527E7</v>
      </c>
      <c r="V54" s="8">
        <f t="shared" si="3"/>
        <v>52118835</v>
      </c>
      <c r="W54" s="8">
        <v>6.81419637E8</v>
      </c>
      <c r="X54" s="8">
        <v>4.12319479E8</v>
      </c>
      <c r="Y54" s="8">
        <v>1.0642437E7</v>
      </c>
      <c r="Z54" s="8">
        <f t="shared" si="4"/>
        <v>1104381553</v>
      </c>
      <c r="AA54" s="7">
        <v>550.0</v>
      </c>
      <c r="AB54" s="8">
        <v>8.676921E7</v>
      </c>
      <c r="AC54" s="8">
        <v>1.6737706E7</v>
      </c>
      <c r="AD54" s="8">
        <v>695090.0</v>
      </c>
      <c r="AE54" s="8">
        <v>1.615122E7</v>
      </c>
      <c r="AF54" s="10">
        <f t="shared" si="5"/>
        <v>120353226</v>
      </c>
      <c r="AG54" s="8">
        <v>5.92589949E8</v>
      </c>
      <c r="AH54" s="8">
        <v>2.87272275E8</v>
      </c>
      <c r="AI54" s="8">
        <v>2.7499926E7</v>
      </c>
      <c r="AJ54" s="8">
        <f t="shared" si="6"/>
        <v>907362150</v>
      </c>
    </row>
    <row r="55" ht="13.5" customHeight="1">
      <c r="A55" s="11">
        <v>54.0</v>
      </c>
      <c r="B55" s="12" t="s">
        <v>123</v>
      </c>
      <c r="C55" s="12" t="s">
        <v>124</v>
      </c>
      <c r="D55" s="6" t="s">
        <v>73</v>
      </c>
      <c r="E55" s="12">
        <v>2025.0</v>
      </c>
      <c r="F55" s="12">
        <v>16.17</v>
      </c>
      <c r="G55" s="7">
        <v>736.0</v>
      </c>
      <c r="H55" s="8">
        <v>3.7663348E7</v>
      </c>
      <c r="I55" s="8">
        <v>1.6857777E8</v>
      </c>
      <c r="J55" s="8">
        <v>0.0</v>
      </c>
      <c r="K55" s="8">
        <v>3.4275212E7</v>
      </c>
      <c r="L55" s="8">
        <f t="shared" si="1"/>
        <v>240516330</v>
      </c>
      <c r="M55" s="8">
        <v>1.140057806E9</v>
      </c>
      <c r="N55" s="8">
        <v>5.49815206E8</v>
      </c>
      <c r="O55" s="8">
        <v>4988442.0</v>
      </c>
      <c r="P55" s="8">
        <f t="shared" si="2"/>
        <v>1694861454</v>
      </c>
      <c r="Q55" s="7">
        <v>685.0</v>
      </c>
      <c r="R55" s="8">
        <v>3.7005674E7</v>
      </c>
      <c r="S55" s="8">
        <v>1.19928655E8</v>
      </c>
      <c r="T55" s="8">
        <v>0.0</v>
      </c>
      <c r="U55" s="8">
        <v>1.10825105E8</v>
      </c>
      <c r="V55" s="8">
        <f t="shared" si="3"/>
        <v>267759434</v>
      </c>
      <c r="W55" s="8">
        <v>1.059625452E9</v>
      </c>
      <c r="X55" s="8">
        <v>5.04199101E8</v>
      </c>
      <c r="Y55" s="8">
        <v>2775996.0</v>
      </c>
      <c r="Z55" s="8">
        <f t="shared" si="4"/>
        <v>1566600549</v>
      </c>
      <c r="AA55" s="7">
        <v>580.0</v>
      </c>
      <c r="AB55" s="8">
        <v>3.2061775E7</v>
      </c>
      <c r="AC55" s="8">
        <v>7.4845479E7</v>
      </c>
      <c r="AD55" s="8">
        <v>0.0</v>
      </c>
      <c r="AE55" s="8">
        <v>3.0464691E7</v>
      </c>
      <c r="AF55" s="10">
        <f t="shared" si="5"/>
        <v>137371945</v>
      </c>
      <c r="AG55" s="8">
        <v>1.111547808E9</v>
      </c>
      <c r="AH55" s="8">
        <v>4.65117899E8</v>
      </c>
      <c r="AI55" s="8">
        <v>320888.0</v>
      </c>
      <c r="AJ55" s="8">
        <f t="shared" si="6"/>
        <v>1576986595</v>
      </c>
    </row>
    <row r="56" ht="13.5" customHeight="1">
      <c r="A56" s="11">
        <v>55.0</v>
      </c>
      <c r="B56" s="12" t="s">
        <v>125</v>
      </c>
      <c r="C56" s="12" t="s">
        <v>126</v>
      </c>
      <c r="D56" s="6" t="s">
        <v>73</v>
      </c>
      <c r="E56" s="12">
        <v>2025.0</v>
      </c>
      <c r="F56" s="12">
        <v>12.9</v>
      </c>
      <c r="G56" s="7">
        <v>1094.0</v>
      </c>
      <c r="H56" s="8">
        <v>2.5470848E7</v>
      </c>
      <c r="I56" s="8">
        <v>4.603347E7</v>
      </c>
      <c r="J56" s="8">
        <v>1233726.0</v>
      </c>
      <c r="K56" s="8">
        <v>3.6533701E8</v>
      </c>
      <c r="L56" s="8">
        <f t="shared" si="1"/>
        <v>438075054</v>
      </c>
      <c r="M56" s="8">
        <v>1.040001873E9</v>
      </c>
      <c r="N56" s="8">
        <v>5.6135736E8</v>
      </c>
      <c r="O56" s="8">
        <v>4405930.0</v>
      </c>
      <c r="P56" s="8">
        <f t="shared" si="2"/>
        <v>1605765163</v>
      </c>
      <c r="Q56" s="7">
        <v>1100.0</v>
      </c>
      <c r="R56" s="8">
        <v>3.2320345E7</v>
      </c>
      <c r="S56" s="8">
        <v>6.2608921E7</v>
      </c>
      <c r="T56" s="8">
        <v>937514.0</v>
      </c>
      <c r="U56" s="8">
        <v>6.4803488E7</v>
      </c>
      <c r="V56" s="8">
        <f t="shared" si="3"/>
        <v>160670268</v>
      </c>
      <c r="W56" s="8">
        <v>1.017832091E9</v>
      </c>
      <c r="X56" s="8">
        <v>2.66888715E8</v>
      </c>
      <c r="Y56" s="8">
        <v>3428035.0</v>
      </c>
      <c r="Z56" s="8">
        <f t="shared" si="4"/>
        <v>1288148841</v>
      </c>
      <c r="AA56" s="7">
        <v>794.0</v>
      </c>
      <c r="AB56" s="8">
        <v>3.0328469E7</v>
      </c>
      <c r="AC56" s="8">
        <v>6.4923148E7</v>
      </c>
      <c r="AD56" s="8">
        <v>958749.0</v>
      </c>
      <c r="AE56" s="8">
        <v>1.3103429E7</v>
      </c>
      <c r="AF56" s="10">
        <f t="shared" si="5"/>
        <v>109313795</v>
      </c>
      <c r="AG56" s="8">
        <v>7.53824026E8</v>
      </c>
      <c r="AH56" s="8">
        <v>3.27937598E8</v>
      </c>
      <c r="AI56" s="8">
        <v>2197815.0</v>
      </c>
      <c r="AJ56" s="8">
        <f t="shared" si="6"/>
        <v>1083959439</v>
      </c>
    </row>
    <row r="57" ht="13.5" customHeight="1">
      <c r="A57" s="11">
        <v>56.0</v>
      </c>
      <c r="B57" s="12" t="s">
        <v>127</v>
      </c>
      <c r="C57" s="12" t="s">
        <v>128</v>
      </c>
      <c r="D57" s="6" t="s">
        <v>73</v>
      </c>
      <c r="E57" s="12">
        <v>2025.0</v>
      </c>
      <c r="F57" s="12">
        <v>24.63</v>
      </c>
      <c r="G57" s="7">
        <v>180.0</v>
      </c>
      <c r="H57" s="8">
        <v>4.2047099E7</v>
      </c>
      <c r="I57" s="8">
        <v>3.45120335E8</v>
      </c>
      <c r="J57" s="8">
        <v>1.0366864E7</v>
      </c>
      <c r="K57" s="8">
        <v>2.9012083E8</v>
      </c>
      <c r="L57" s="8">
        <f t="shared" si="1"/>
        <v>687655128</v>
      </c>
      <c r="M57" s="8">
        <v>4.60859793E8</v>
      </c>
      <c r="N57" s="8">
        <v>4.14394583E8</v>
      </c>
      <c r="O57" s="8">
        <v>1.4574525E7</v>
      </c>
      <c r="P57" s="8">
        <f t="shared" si="2"/>
        <v>889828901</v>
      </c>
      <c r="Q57" s="7">
        <v>181.0</v>
      </c>
      <c r="R57" s="8">
        <v>3.8207541E7</v>
      </c>
      <c r="S57" s="8">
        <v>1.98997546E8</v>
      </c>
      <c r="T57" s="8">
        <v>4.2796235E7</v>
      </c>
      <c r="U57" s="8">
        <v>2.066394069E9</v>
      </c>
      <c r="V57" s="8">
        <f t="shared" si="3"/>
        <v>2346395391</v>
      </c>
      <c r="W57" s="8">
        <v>3.53441764E8</v>
      </c>
      <c r="X57" s="8">
        <v>4.26639422E8</v>
      </c>
      <c r="Y57" s="8">
        <v>4062592.0</v>
      </c>
      <c r="Z57" s="8">
        <f t="shared" si="4"/>
        <v>784143778</v>
      </c>
      <c r="AA57" s="7">
        <v>133.0</v>
      </c>
      <c r="AB57" s="8">
        <v>3.4306591E7</v>
      </c>
      <c r="AC57" s="8">
        <v>7.8517422E7</v>
      </c>
      <c r="AD57" s="8">
        <v>1.51458514E8</v>
      </c>
      <c r="AE57" s="8">
        <v>9.0941656E7</v>
      </c>
      <c r="AF57" s="10">
        <f t="shared" si="5"/>
        <v>355224183</v>
      </c>
      <c r="AG57" s="8">
        <v>3.06130283E8</v>
      </c>
      <c r="AH57" s="8">
        <v>1.91666244E8</v>
      </c>
      <c r="AI57" s="8">
        <v>2302790.0</v>
      </c>
      <c r="AJ57" s="8">
        <f t="shared" si="6"/>
        <v>500099317</v>
      </c>
    </row>
    <row r="58" ht="13.5" customHeight="1">
      <c r="A58" s="11">
        <v>57.0</v>
      </c>
      <c r="B58" s="12" t="s">
        <v>129</v>
      </c>
      <c r="C58" s="12" t="s">
        <v>130</v>
      </c>
      <c r="D58" s="6" t="s">
        <v>73</v>
      </c>
      <c r="E58" s="12">
        <v>2025.0</v>
      </c>
      <c r="F58" s="12">
        <v>25.61</v>
      </c>
      <c r="G58" s="7">
        <v>230.0</v>
      </c>
      <c r="H58" s="8">
        <v>4.3213105E7</v>
      </c>
      <c r="I58" s="8">
        <v>7.61033986E8</v>
      </c>
      <c r="J58" s="8">
        <v>1364064.0</v>
      </c>
      <c r="K58" s="8">
        <v>9.06306869E8</v>
      </c>
      <c r="L58" s="8">
        <f t="shared" si="1"/>
        <v>1711918024</v>
      </c>
      <c r="M58" s="8">
        <v>5.19711016E8</v>
      </c>
      <c r="N58" s="8">
        <v>4.4474958E8</v>
      </c>
      <c r="O58" s="8">
        <v>1.009269E7</v>
      </c>
      <c r="P58" s="8">
        <f t="shared" si="2"/>
        <v>974553286</v>
      </c>
      <c r="Q58" s="7">
        <v>191.0</v>
      </c>
      <c r="R58" s="8">
        <v>4.5049803E7</v>
      </c>
      <c r="S58" s="8">
        <v>3.87810044E8</v>
      </c>
      <c r="T58" s="8">
        <v>1912856.0</v>
      </c>
      <c r="U58" s="8">
        <v>1.27113414E8</v>
      </c>
      <c r="V58" s="8">
        <f t="shared" si="3"/>
        <v>561886117</v>
      </c>
      <c r="W58" s="8">
        <v>4.06473898E8</v>
      </c>
      <c r="X58" s="8">
        <v>2.70327094E8</v>
      </c>
      <c r="Y58" s="8">
        <v>3458992.0</v>
      </c>
      <c r="Z58" s="8">
        <f t="shared" si="4"/>
        <v>680259984</v>
      </c>
      <c r="AA58" s="7">
        <v>181.0</v>
      </c>
      <c r="AB58" s="8">
        <v>4.1283431E7</v>
      </c>
      <c r="AC58" s="8">
        <v>1.08143703E8</v>
      </c>
      <c r="AD58" s="8">
        <v>909899.0</v>
      </c>
      <c r="AE58" s="8">
        <v>6.7503265E7</v>
      </c>
      <c r="AF58" s="10">
        <f t="shared" si="5"/>
        <v>217840298</v>
      </c>
      <c r="AG58" s="8">
        <v>3.41974384E8</v>
      </c>
      <c r="AH58" s="8">
        <v>2.3347668E8</v>
      </c>
      <c r="AI58" s="8">
        <v>1572824.0</v>
      </c>
      <c r="AJ58" s="8">
        <f t="shared" si="6"/>
        <v>577023888</v>
      </c>
    </row>
    <row r="59" ht="13.5" customHeight="1">
      <c r="A59" s="11">
        <v>58.0</v>
      </c>
      <c r="B59" s="12" t="s">
        <v>131</v>
      </c>
      <c r="C59" s="12" t="s">
        <v>103</v>
      </c>
      <c r="D59" s="6" t="s">
        <v>52</v>
      </c>
      <c r="E59" s="12">
        <v>2025.0</v>
      </c>
      <c r="F59" s="12">
        <v>10.49</v>
      </c>
      <c r="G59" s="7">
        <v>1500.0</v>
      </c>
      <c r="H59" s="8">
        <v>1190081.0</v>
      </c>
      <c r="I59" s="8">
        <v>1.63415032E8</v>
      </c>
      <c r="J59" s="8">
        <v>0.0</v>
      </c>
      <c r="K59" s="8">
        <v>2.61895833E8</v>
      </c>
      <c r="L59" s="8">
        <f t="shared" si="1"/>
        <v>426500946</v>
      </c>
      <c r="M59" s="8">
        <v>7.28649917E8</v>
      </c>
      <c r="N59" s="8">
        <v>1.261918213E9</v>
      </c>
      <c r="O59" s="8">
        <v>9506353.0</v>
      </c>
      <c r="P59" s="8">
        <f t="shared" si="2"/>
        <v>2000074483</v>
      </c>
      <c r="Q59" s="7">
        <v>1258.0</v>
      </c>
      <c r="R59" s="8">
        <v>804766.0</v>
      </c>
      <c r="S59" s="8">
        <v>7.1652611E7</v>
      </c>
      <c r="T59" s="8">
        <v>0.0</v>
      </c>
      <c r="U59" s="8">
        <v>9.0603376E7</v>
      </c>
      <c r="V59" s="8">
        <f t="shared" si="3"/>
        <v>163060753</v>
      </c>
      <c r="W59" s="8">
        <v>5.55573029E8</v>
      </c>
      <c r="X59" s="8">
        <v>6.61166417E8</v>
      </c>
      <c r="Y59" s="8">
        <v>8578549.0</v>
      </c>
      <c r="Z59" s="8">
        <f t="shared" si="4"/>
        <v>1225317995</v>
      </c>
      <c r="AA59" s="7">
        <v>1139.0</v>
      </c>
      <c r="AB59" s="8">
        <v>140296.0</v>
      </c>
      <c r="AC59" s="8">
        <v>2.1217436E7</v>
      </c>
      <c r="AD59" s="8">
        <v>0.0</v>
      </c>
      <c r="AE59" s="8">
        <v>6.6002725E7</v>
      </c>
      <c r="AF59" s="10">
        <f t="shared" si="5"/>
        <v>87360457</v>
      </c>
      <c r="AG59" s="8">
        <v>4.97973787E8</v>
      </c>
      <c r="AH59" s="8">
        <v>4.36137844E8</v>
      </c>
      <c r="AI59" s="8">
        <v>6997785.0</v>
      </c>
      <c r="AJ59" s="8">
        <f t="shared" si="6"/>
        <v>941109416</v>
      </c>
    </row>
    <row r="60" ht="13.5" customHeight="1">
      <c r="A60" s="11">
        <v>59.0</v>
      </c>
      <c r="B60" s="12" t="s">
        <v>132</v>
      </c>
      <c r="C60" s="12" t="s">
        <v>133</v>
      </c>
      <c r="D60" s="6" t="s">
        <v>52</v>
      </c>
      <c r="E60" s="12">
        <v>2025.0</v>
      </c>
      <c r="F60" s="12">
        <v>10.76</v>
      </c>
      <c r="G60" s="7">
        <v>2040.0</v>
      </c>
      <c r="H60" s="8">
        <v>9.3485827E7</v>
      </c>
      <c r="I60" s="8">
        <v>2.12008748E8</v>
      </c>
      <c r="J60" s="8">
        <v>8738233.0</v>
      </c>
      <c r="K60" s="8">
        <v>1.20817757E8</v>
      </c>
      <c r="L60" s="8">
        <f t="shared" si="1"/>
        <v>435050565</v>
      </c>
      <c r="M60" s="8">
        <v>1.353586395E9</v>
      </c>
      <c r="N60" s="8">
        <v>7.40414016E8</v>
      </c>
      <c r="O60" s="8">
        <v>1.6692158E7</v>
      </c>
      <c r="P60" s="8">
        <f t="shared" si="2"/>
        <v>2110692569</v>
      </c>
      <c r="Q60" s="7">
        <v>1827.0</v>
      </c>
      <c r="R60" s="8">
        <v>4.9945045E7</v>
      </c>
      <c r="S60" s="8">
        <v>1.1620211E8</v>
      </c>
      <c r="T60" s="8">
        <v>5756282.0</v>
      </c>
      <c r="U60" s="8">
        <v>1.02821147E8</v>
      </c>
      <c r="V60" s="8">
        <f t="shared" si="3"/>
        <v>274724584</v>
      </c>
      <c r="W60" s="8">
        <v>1.298694065E9</v>
      </c>
      <c r="X60" s="8">
        <v>5.72111457E8</v>
      </c>
      <c r="Y60" s="8">
        <v>2186408.0</v>
      </c>
      <c r="Z60" s="8">
        <f t="shared" si="4"/>
        <v>1872991930</v>
      </c>
      <c r="AA60" s="7">
        <v>2002.0</v>
      </c>
      <c r="AB60" s="8">
        <v>4.4376974E7</v>
      </c>
      <c r="AC60" s="8">
        <v>3.7653128E7</v>
      </c>
      <c r="AD60" s="8">
        <v>0.0</v>
      </c>
      <c r="AE60" s="8">
        <v>2.1943633E7</v>
      </c>
      <c r="AF60" s="10">
        <f t="shared" si="5"/>
        <v>103973735</v>
      </c>
      <c r="AG60" s="8">
        <v>1.105278346E9</v>
      </c>
      <c r="AH60" s="8">
        <v>4.81300664E8</v>
      </c>
      <c r="AI60" s="8">
        <v>1.1075244E7</v>
      </c>
      <c r="AJ60" s="8">
        <f t="shared" si="6"/>
        <v>1597654254</v>
      </c>
    </row>
    <row r="61" ht="13.5" customHeight="1">
      <c r="A61" s="11">
        <v>60.0</v>
      </c>
      <c r="B61" s="12" t="s">
        <v>134</v>
      </c>
      <c r="C61" s="12" t="s">
        <v>135</v>
      </c>
      <c r="D61" s="6" t="s">
        <v>2</v>
      </c>
      <c r="E61" s="12">
        <v>2025.0</v>
      </c>
      <c r="F61" s="12">
        <v>13.64</v>
      </c>
      <c r="G61" s="7">
        <v>720.0</v>
      </c>
      <c r="H61" s="8">
        <v>1.6398836E7</v>
      </c>
      <c r="I61" s="8">
        <v>1.20783558E8</v>
      </c>
      <c r="J61" s="8">
        <v>2.2855813E7</v>
      </c>
      <c r="K61" s="8">
        <v>1.8335428E8</v>
      </c>
      <c r="L61" s="8">
        <f t="shared" si="1"/>
        <v>343392487</v>
      </c>
      <c r="M61" s="8">
        <v>6.99642637E8</v>
      </c>
      <c r="N61" s="8">
        <v>6.52240014E8</v>
      </c>
      <c r="O61" s="8">
        <v>2.1687297E7</v>
      </c>
      <c r="P61" s="8">
        <f t="shared" si="2"/>
        <v>1373569948</v>
      </c>
      <c r="Q61" s="7">
        <v>720.0</v>
      </c>
      <c r="R61" s="8">
        <v>1.5630393E7</v>
      </c>
      <c r="S61" s="8">
        <v>5.5854E7</v>
      </c>
      <c r="T61" s="8">
        <v>2.1923884E7</v>
      </c>
      <c r="U61" s="8">
        <v>1.47812413E8</v>
      </c>
      <c r="V61" s="8">
        <f t="shared" si="3"/>
        <v>241220690</v>
      </c>
      <c r="W61" s="8">
        <v>3.79739307E8</v>
      </c>
      <c r="X61" s="8">
        <v>3.66370747E8</v>
      </c>
      <c r="Y61" s="8">
        <v>2.6954165E7</v>
      </c>
      <c r="Z61" s="8">
        <f t="shared" si="4"/>
        <v>773064219</v>
      </c>
      <c r="AA61" s="7">
        <v>712.0</v>
      </c>
      <c r="AB61" s="8">
        <v>1084250.0</v>
      </c>
      <c r="AC61" s="8">
        <v>5.48175E7</v>
      </c>
      <c r="AD61" s="8">
        <v>1316558.0</v>
      </c>
      <c r="AE61" s="8">
        <v>2.7041332E7</v>
      </c>
      <c r="AF61" s="10">
        <f t="shared" si="5"/>
        <v>84259640</v>
      </c>
      <c r="AG61" s="8">
        <v>3.46444631E8</v>
      </c>
      <c r="AH61" s="8">
        <v>1.25478946E8</v>
      </c>
      <c r="AI61" s="8">
        <v>3673413.0</v>
      </c>
      <c r="AJ61" s="8">
        <f t="shared" si="6"/>
        <v>475596990</v>
      </c>
    </row>
    <row r="62" ht="13.5" customHeight="1">
      <c r="A62" s="11">
        <v>61.0</v>
      </c>
      <c r="B62" s="12" t="s">
        <v>136</v>
      </c>
      <c r="C62" s="12" t="s">
        <v>137</v>
      </c>
      <c r="D62" s="6" t="s">
        <v>73</v>
      </c>
      <c r="E62" s="12">
        <v>2025.0</v>
      </c>
      <c r="F62" s="12">
        <v>22.27</v>
      </c>
      <c r="G62" s="7">
        <v>127.0</v>
      </c>
      <c r="H62" s="8">
        <v>2.8236097E7</v>
      </c>
      <c r="I62" s="8">
        <v>1.71144933E8</v>
      </c>
      <c r="J62" s="8">
        <v>7163937.0</v>
      </c>
      <c r="K62" s="8">
        <v>3.3208979E7</v>
      </c>
      <c r="L62" s="8">
        <f t="shared" si="1"/>
        <v>239753946</v>
      </c>
      <c r="M62" s="8">
        <v>4.68978473E8</v>
      </c>
      <c r="N62" s="8">
        <v>4.64487608E8</v>
      </c>
      <c r="O62" s="8">
        <v>3748497.0</v>
      </c>
      <c r="P62" s="8">
        <f t="shared" si="2"/>
        <v>937214578</v>
      </c>
      <c r="Q62" s="7">
        <v>132.0</v>
      </c>
      <c r="R62" s="8">
        <v>2.7244368E7</v>
      </c>
      <c r="S62" s="8">
        <v>1.77569328E8</v>
      </c>
      <c r="T62" s="8">
        <v>238200.0</v>
      </c>
      <c r="U62" s="8">
        <v>2.088888E7</v>
      </c>
      <c r="V62" s="8">
        <f t="shared" si="3"/>
        <v>225940776</v>
      </c>
      <c r="W62" s="8">
        <v>3.86370379E8</v>
      </c>
      <c r="X62" s="8">
        <v>4.04033525E8</v>
      </c>
      <c r="Y62" s="8">
        <v>2428612.0</v>
      </c>
      <c r="Z62" s="8">
        <f t="shared" si="4"/>
        <v>792832516</v>
      </c>
      <c r="AA62" s="7">
        <v>120.0</v>
      </c>
      <c r="AB62" s="8">
        <v>2.5828456E7</v>
      </c>
      <c r="AC62" s="8">
        <v>6.5684494E7</v>
      </c>
      <c r="AD62" s="8">
        <v>125852.0</v>
      </c>
      <c r="AE62" s="8">
        <v>1.272025E7</v>
      </c>
      <c r="AF62" s="10">
        <f t="shared" si="5"/>
        <v>104359052</v>
      </c>
      <c r="AG62" s="8">
        <v>4.03194134E8</v>
      </c>
      <c r="AH62" s="8">
        <v>3.16899764E8</v>
      </c>
      <c r="AI62" s="8">
        <v>283534.0</v>
      </c>
      <c r="AJ62" s="8">
        <f t="shared" si="6"/>
        <v>720377432</v>
      </c>
    </row>
    <row r="63" ht="13.5" customHeight="1">
      <c r="A63" s="11">
        <v>62.0</v>
      </c>
      <c r="B63" s="15" t="s">
        <v>138</v>
      </c>
      <c r="C63" s="12" t="s">
        <v>139</v>
      </c>
      <c r="D63" s="6" t="s">
        <v>73</v>
      </c>
      <c r="E63" s="12">
        <v>2025.0</v>
      </c>
      <c r="F63" s="12">
        <v>15.78</v>
      </c>
      <c r="G63" s="7">
        <v>1067.0</v>
      </c>
      <c r="H63" s="8">
        <v>4.011783E7</v>
      </c>
      <c r="I63" s="8">
        <v>6.2087891E7</v>
      </c>
      <c r="J63" s="8">
        <v>1199504.0</v>
      </c>
      <c r="K63" s="8">
        <v>6.4367666E7</v>
      </c>
      <c r="L63" s="8">
        <f t="shared" si="1"/>
        <v>167772891</v>
      </c>
      <c r="M63" s="8">
        <v>1.086305265E9</v>
      </c>
      <c r="N63" s="8">
        <v>9.51302532E8</v>
      </c>
      <c r="O63" s="8">
        <v>6348126.0</v>
      </c>
      <c r="P63" s="8">
        <f t="shared" si="2"/>
        <v>2043955923</v>
      </c>
      <c r="Q63" s="7">
        <v>930.0</v>
      </c>
      <c r="R63" s="8">
        <v>8.44936E7</v>
      </c>
      <c r="S63" s="8">
        <v>5.1498989E7</v>
      </c>
      <c r="T63" s="8">
        <v>1075334.0</v>
      </c>
      <c r="U63" s="8">
        <v>1.44187795E8</v>
      </c>
      <c r="V63" s="8">
        <f t="shared" si="3"/>
        <v>281255718</v>
      </c>
      <c r="W63" s="8">
        <v>1.090861681E9</v>
      </c>
      <c r="X63" s="8">
        <v>1.085425738E9</v>
      </c>
      <c r="Y63" s="8">
        <v>9399625.0</v>
      </c>
      <c r="Z63" s="8">
        <f t="shared" si="4"/>
        <v>2185687044</v>
      </c>
      <c r="AA63" s="7">
        <v>926.0</v>
      </c>
      <c r="AB63" s="8">
        <v>5.884275E7</v>
      </c>
      <c r="AC63" s="8">
        <v>3.959017E7</v>
      </c>
      <c r="AD63" s="8">
        <v>902613.0</v>
      </c>
      <c r="AE63" s="8">
        <v>3.77894677E8</v>
      </c>
      <c r="AF63" s="10">
        <f t="shared" si="5"/>
        <v>477230210</v>
      </c>
      <c r="AG63" s="8">
        <v>8.90400832E8</v>
      </c>
      <c r="AH63" s="8">
        <v>7.47488659E8</v>
      </c>
      <c r="AI63" s="8">
        <v>7371741.0</v>
      </c>
      <c r="AJ63" s="8">
        <f t="shared" si="6"/>
        <v>1645261232</v>
      </c>
    </row>
    <row r="64" ht="13.5" customHeight="1">
      <c r="A64" s="11">
        <v>63.0</v>
      </c>
      <c r="B64" s="15" t="s">
        <v>140</v>
      </c>
      <c r="C64" s="12" t="s">
        <v>39</v>
      </c>
      <c r="D64" s="6" t="s">
        <v>73</v>
      </c>
      <c r="E64" s="12">
        <v>2025.0</v>
      </c>
      <c r="F64" s="12">
        <v>16.16</v>
      </c>
      <c r="G64" s="7">
        <v>444.0</v>
      </c>
      <c r="H64" s="8">
        <v>2.2989784E7</v>
      </c>
      <c r="I64" s="8">
        <v>6.001709E7</v>
      </c>
      <c r="J64" s="8">
        <v>8611012.0</v>
      </c>
      <c r="K64" s="8">
        <v>3.8508029E7</v>
      </c>
      <c r="L64" s="8">
        <f t="shared" si="1"/>
        <v>130125915</v>
      </c>
      <c r="M64" s="8">
        <v>6.06950535E8</v>
      </c>
      <c r="N64" s="8">
        <v>5.30776179E8</v>
      </c>
      <c r="O64" s="8">
        <v>8545034.0</v>
      </c>
      <c r="P64" s="8">
        <f t="shared" si="2"/>
        <v>1146271748</v>
      </c>
      <c r="Q64" s="7">
        <v>451.0</v>
      </c>
      <c r="R64" s="8">
        <v>2.4442593E7</v>
      </c>
      <c r="S64" s="8">
        <v>4.8871554E7</v>
      </c>
      <c r="T64" s="8">
        <v>1388488.0</v>
      </c>
      <c r="U64" s="8">
        <v>1.19070623E8</v>
      </c>
      <c r="V64" s="8">
        <f t="shared" si="3"/>
        <v>193773258</v>
      </c>
      <c r="W64" s="8">
        <v>6.02921616E8</v>
      </c>
      <c r="X64" s="8">
        <v>4.45191721E8</v>
      </c>
      <c r="Y64" s="8">
        <v>9757878.0</v>
      </c>
      <c r="Z64" s="8">
        <f t="shared" si="4"/>
        <v>1057871215</v>
      </c>
      <c r="AA64" s="7">
        <v>398.0</v>
      </c>
      <c r="AB64" s="8">
        <v>1.9289734E7</v>
      </c>
      <c r="AC64" s="8">
        <v>1.6949315E7</v>
      </c>
      <c r="AD64" s="8">
        <v>1.8473387E7</v>
      </c>
      <c r="AE64" s="8">
        <v>2.5836713E7</v>
      </c>
      <c r="AF64" s="10">
        <f t="shared" si="5"/>
        <v>80549149</v>
      </c>
      <c r="AG64" s="8">
        <v>5.39961262E8</v>
      </c>
      <c r="AH64" s="8">
        <v>2.13229683E8</v>
      </c>
      <c r="AI64" s="8">
        <v>7649447.0</v>
      </c>
      <c r="AJ64" s="8">
        <f t="shared" si="6"/>
        <v>760840392</v>
      </c>
    </row>
    <row r="65" ht="13.5" customHeight="1">
      <c r="A65" s="11">
        <v>64.0</v>
      </c>
      <c r="B65" s="15" t="s">
        <v>141</v>
      </c>
      <c r="C65" s="12" t="s">
        <v>142</v>
      </c>
      <c r="D65" s="6" t="s">
        <v>73</v>
      </c>
      <c r="E65" s="12">
        <v>2025.0</v>
      </c>
      <c r="F65" s="12">
        <v>20.16</v>
      </c>
      <c r="G65" s="7">
        <v>165.0</v>
      </c>
      <c r="H65" s="8">
        <v>5.359166E7</v>
      </c>
      <c r="I65" s="8">
        <v>1.16563472E8</v>
      </c>
      <c r="J65" s="8">
        <v>2.46459E7</v>
      </c>
      <c r="K65" s="8">
        <v>1.01819519E8</v>
      </c>
      <c r="L65" s="8">
        <f t="shared" si="1"/>
        <v>296620551</v>
      </c>
      <c r="M65" s="8">
        <v>4.09972097E8</v>
      </c>
      <c r="N65" s="8">
        <v>1.26768023E8</v>
      </c>
      <c r="O65" s="8">
        <v>1.3486836E7</v>
      </c>
      <c r="P65" s="8">
        <f t="shared" si="2"/>
        <v>550226956</v>
      </c>
      <c r="Q65" s="7">
        <v>164.0</v>
      </c>
      <c r="R65" s="8">
        <v>4.4024355E7</v>
      </c>
      <c r="S65" s="8">
        <v>7.0755812E7</v>
      </c>
      <c r="T65" s="8">
        <v>7.5977529E7</v>
      </c>
      <c r="U65" s="8">
        <v>7.2929013E7</v>
      </c>
      <c r="V65" s="8">
        <f t="shared" si="3"/>
        <v>263686709</v>
      </c>
      <c r="W65" s="8">
        <v>3.3700928E8</v>
      </c>
      <c r="X65" s="8">
        <v>1.09176495E8</v>
      </c>
      <c r="Y65" s="8">
        <v>8710363.0</v>
      </c>
      <c r="Z65" s="8">
        <f t="shared" si="4"/>
        <v>454896138</v>
      </c>
      <c r="AA65" s="7">
        <v>153.0</v>
      </c>
      <c r="AB65" s="8">
        <v>4.2362426E7</v>
      </c>
      <c r="AC65" s="8">
        <v>7.837309E7</v>
      </c>
      <c r="AD65" s="8">
        <v>9.8300625E7</v>
      </c>
      <c r="AE65" s="8">
        <v>4.8083518E7</v>
      </c>
      <c r="AF65" s="10">
        <f t="shared" si="5"/>
        <v>267119659</v>
      </c>
      <c r="AG65" s="8">
        <v>2.76935777E8</v>
      </c>
      <c r="AH65" s="8">
        <v>8.4436029E7</v>
      </c>
      <c r="AI65" s="8">
        <v>3513969.0</v>
      </c>
      <c r="AJ65" s="8">
        <f t="shared" si="6"/>
        <v>364885775</v>
      </c>
    </row>
    <row r="66" ht="13.5" customHeight="1">
      <c r="A66" s="11">
        <v>65.0</v>
      </c>
      <c r="B66" s="15" t="s">
        <v>143</v>
      </c>
      <c r="C66" s="12" t="s">
        <v>144</v>
      </c>
      <c r="D66" s="6" t="s">
        <v>73</v>
      </c>
      <c r="E66" s="12">
        <v>2025.0</v>
      </c>
      <c r="F66" s="12">
        <v>22.32</v>
      </c>
      <c r="G66" s="7">
        <v>182.0</v>
      </c>
      <c r="H66" s="8">
        <v>2.9271765E7</v>
      </c>
      <c r="I66" s="8">
        <v>1.43187034E8</v>
      </c>
      <c r="J66" s="8">
        <v>2907785.0</v>
      </c>
      <c r="K66" s="8">
        <v>8.08259596E8</v>
      </c>
      <c r="L66" s="8">
        <f t="shared" si="1"/>
        <v>983626180</v>
      </c>
      <c r="M66" s="8">
        <v>2.5627426E8</v>
      </c>
      <c r="N66" s="8">
        <v>5.26810598E8</v>
      </c>
      <c r="O66" s="8">
        <v>1271070.0</v>
      </c>
      <c r="P66" s="8">
        <f t="shared" si="2"/>
        <v>784355928</v>
      </c>
      <c r="Q66" s="7">
        <v>169.0</v>
      </c>
      <c r="R66" s="8">
        <v>1.09124E7</v>
      </c>
      <c r="S66" s="8">
        <v>5.8717915E7</v>
      </c>
      <c r="T66" s="8">
        <v>1609934.0</v>
      </c>
      <c r="U66" s="8">
        <v>1.96961986E8</v>
      </c>
      <c r="V66" s="8">
        <f t="shared" si="3"/>
        <v>268202235</v>
      </c>
      <c r="W66" s="8">
        <v>2.49488618E8</v>
      </c>
      <c r="X66" s="8">
        <v>2.02135308E8</v>
      </c>
      <c r="Y66" s="8">
        <v>292167.0</v>
      </c>
      <c r="Z66" s="8">
        <f t="shared" si="4"/>
        <v>451916093</v>
      </c>
      <c r="AA66" s="7">
        <v>169.0</v>
      </c>
      <c r="AB66" s="8">
        <v>1.1279465E7</v>
      </c>
      <c r="AC66" s="8">
        <v>2218400.0</v>
      </c>
      <c r="AD66" s="8">
        <v>0.0</v>
      </c>
      <c r="AE66" s="8">
        <v>2.0191987E7</v>
      </c>
      <c r="AF66" s="10">
        <f t="shared" si="5"/>
        <v>33689852</v>
      </c>
      <c r="AG66" s="8">
        <v>1.75378257E8</v>
      </c>
      <c r="AH66" s="8">
        <v>1.93278798E8</v>
      </c>
      <c r="AI66" s="8">
        <v>256116.0</v>
      </c>
      <c r="AJ66" s="8">
        <f t="shared" si="6"/>
        <v>368913171</v>
      </c>
    </row>
    <row r="67" ht="13.5" customHeight="1">
      <c r="A67" s="11">
        <v>66.0</v>
      </c>
      <c r="B67" s="12" t="s">
        <v>145</v>
      </c>
      <c r="C67" s="12" t="s">
        <v>146</v>
      </c>
      <c r="D67" s="6" t="s">
        <v>73</v>
      </c>
      <c r="E67" s="12">
        <v>2025.0</v>
      </c>
      <c r="F67" s="12">
        <v>15.27</v>
      </c>
      <c r="G67" s="7">
        <v>900.0</v>
      </c>
      <c r="H67" s="8">
        <v>5.5696364E7</v>
      </c>
      <c r="I67" s="8">
        <v>1.00219284E8</v>
      </c>
      <c r="J67" s="8">
        <v>1401969.0</v>
      </c>
      <c r="K67" s="8">
        <v>3.82997473E8</v>
      </c>
      <c r="L67" s="8">
        <f t="shared" si="1"/>
        <v>540315090</v>
      </c>
      <c r="M67" s="8">
        <v>1.025370217E9</v>
      </c>
      <c r="N67" s="8">
        <v>6.16922275E8</v>
      </c>
      <c r="O67" s="8">
        <v>8116174.0</v>
      </c>
      <c r="P67" s="8">
        <f t="shared" si="2"/>
        <v>1650408666</v>
      </c>
      <c r="Q67" s="7">
        <v>843.0</v>
      </c>
      <c r="R67" s="8">
        <v>6.3342666E7</v>
      </c>
      <c r="S67" s="8">
        <v>1.37213329E8</v>
      </c>
      <c r="T67" s="8">
        <v>2.5904832E7</v>
      </c>
      <c r="U67" s="8">
        <v>1.13666784E8</v>
      </c>
      <c r="V67" s="8">
        <f t="shared" si="3"/>
        <v>340127611</v>
      </c>
      <c r="W67" s="8">
        <v>8.71689788E8</v>
      </c>
      <c r="X67" s="8">
        <v>6.11739957E8</v>
      </c>
      <c r="Y67" s="8">
        <v>7190579.0</v>
      </c>
      <c r="Z67" s="8">
        <f t="shared" si="4"/>
        <v>1490620324</v>
      </c>
      <c r="AA67" s="7">
        <v>787.0</v>
      </c>
      <c r="AB67" s="8">
        <v>3.2208869E7</v>
      </c>
      <c r="AC67" s="8">
        <v>6.1669792E7</v>
      </c>
      <c r="AD67" s="8">
        <v>4631191.0</v>
      </c>
      <c r="AE67" s="8">
        <v>8.1933275E7</v>
      </c>
      <c r="AF67" s="10">
        <f t="shared" si="5"/>
        <v>180443127</v>
      </c>
      <c r="AG67" s="8">
        <v>8.07976584E8</v>
      </c>
      <c r="AH67" s="8">
        <v>5.85730455E8</v>
      </c>
      <c r="AI67" s="8">
        <v>8160475.0</v>
      </c>
      <c r="AJ67" s="8">
        <f t="shared" si="6"/>
        <v>1401867514</v>
      </c>
    </row>
    <row r="68" ht="13.5" customHeight="1">
      <c r="A68" s="11">
        <v>67.0</v>
      </c>
      <c r="B68" s="15" t="s">
        <v>147</v>
      </c>
      <c r="C68" s="12" t="s">
        <v>71</v>
      </c>
      <c r="D68" s="6" t="s">
        <v>80</v>
      </c>
      <c r="E68" s="12">
        <v>2025.0</v>
      </c>
      <c r="F68" s="12">
        <v>9.43</v>
      </c>
      <c r="G68" s="7">
        <v>1140.0</v>
      </c>
      <c r="H68" s="8">
        <v>1.3837E7</v>
      </c>
      <c r="I68" s="8">
        <v>5.8629E7</v>
      </c>
      <c r="J68" s="8">
        <v>0.0</v>
      </c>
      <c r="K68" s="8">
        <v>1.03075E8</v>
      </c>
      <c r="L68" s="8">
        <f t="shared" si="1"/>
        <v>175541000</v>
      </c>
      <c r="M68" s="8">
        <v>6.90867E8</v>
      </c>
      <c r="N68" s="8">
        <v>3.52474E8</v>
      </c>
      <c r="O68" s="8">
        <v>4206000.0</v>
      </c>
      <c r="P68" s="8">
        <f t="shared" si="2"/>
        <v>1047547000</v>
      </c>
      <c r="Q68" s="7">
        <v>1140.0</v>
      </c>
      <c r="R68" s="8">
        <v>1.377E7</v>
      </c>
      <c r="S68" s="8">
        <v>6.3007E7</v>
      </c>
      <c r="T68" s="8">
        <v>0.0</v>
      </c>
      <c r="U68" s="8">
        <v>1.6227E7</v>
      </c>
      <c r="V68" s="8">
        <f t="shared" si="3"/>
        <v>93004000</v>
      </c>
      <c r="W68" s="8">
        <v>6.28440886E8</v>
      </c>
      <c r="X68" s="8">
        <v>2.51825408E8</v>
      </c>
      <c r="Y68" s="8">
        <v>6119000.0</v>
      </c>
      <c r="Z68" s="8">
        <f t="shared" si="4"/>
        <v>886385294</v>
      </c>
      <c r="AA68" s="7">
        <v>1186.0</v>
      </c>
      <c r="AB68" s="8">
        <v>3.5067E7</v>
      </c>
      <c r="AC68" s="8">
        <v>4.2302E7</v>
      </c>
      <c r="AD68" s="8">
        <v>0.0</v>
      </c>
      <c r="AE68" s="8">
        <v>1.6666E7</v>
      </c>
      <c r="AF68" s="10">
        <f t="shared" si="5"/>
        <v>94035000</v>
      </c>
      <c r="AG68" s="8">
        <v>6.63754E8</v>
      </c>
      <c r="AH68" s="8">
        <v>3.08505169E8</v>
      </c>
      <c r="AI68" s="8">
        <v>4908000.0</v>
      </c>
      <c r="AJ68" s="8">
        <f t="shared" si="6"/>
        <v>977167169</v>
      </c>
    </row>
    <row r="69" ht="13.5" customHeight="1">
      <c r="A69" s="11">
        <v>68.0</v>
      </c>
      <c r="B69" s="12" t="s">
        <v>148</v>
      </c>
      <c r="C69" s="12" t="s">
        <v>37</v>
      </c>
      <c r="D69" s="6" t="s">
        <v>80</v>
      </c>
      <c r="E69" s="12">
        <v>2025.0</v>
      </c>
      <c r="F69" s="12">
        <v>9.58</v>
      </c>
      <c r="G69" s="7">
        <v>2940.0</v>
      </c>
      <c r="H69" s="8">
        <v>5.5940926E7</v>
      </c>
      <c r="I69" s="8">
        <v>4.63157932E8</v>
      </c>
      <c r="J69" s="8">
        <v>1542159.0</v>
      </c>
      <c r="K69" s="8">
        <v>2.79234142E8</v>
      </c>
      <c r="L69" s="8">
        <f t="shared" si="1"/>
        <v>799875159</v>
      </c>
      <c r="M69" s="8">
        <v>1.261527415E9</v>
      </c>
      <c r="N69" s="8">
        <v>2.61781217E8</v>
      </c>
      <c r="O69" s="8">
        <v>4125700.0</v>
      </c>
      <c r="P69" s="8">
        <f t="shared" si="2"/>
        <v>1527434332</v>
      </c>
      <c r="Q69" s="7">
        <v>2361.0</v>
      </c>
      <c r="R69" s="8">
        <v>6.9766777E7</v>
      </c>
      <c r="S69" s="8">
        <v>4.52354869E8</v>
      </c>
      <c r="T69" s="8">
        <v>1430609.0</v>
      </c>
      <c r="U69" s="8">
        <v>2.56249312E8</v>
      </c>
      <c r="V69" s="8">
        <f t="shared" si="3"/>
        <v>779801567</v>
      </c>
      <c r="W69" s="8">
        <v>1.235274862E9</v>
      </c>
      <c r="X69" s="8">
        <v>2.11814542E8</v>
      </c>
      <c r="Y69" s="8">
        <v>3482450.0</v>
      </c>
      <c r="Z69" s="8">
        <f t="shared" si="4"/>
        <v>1450571854</v>
      </c>
      <c r="AA69" s="7">
        <v>1507.0</v>
      </c>
      <c r="AB69" s="8">
        <v>9.1193071E7</v>
      </c>
      <c r="AC69" s="8">
        <v>1.99349137E8</v>
      </c>
      <c r="AD69" s="8">
        <v>689415.0</v>
      </c>
      <c r="AE69" s="8">
        <v>9.7908486E7</v>
      </c>
      <c r="AF69" s="10">
        <f t="shared" si="5"/>
        <v>389140109</v>
      </c>
      <c r="AG69" s="8">
        <v>1.196944719E9</v>
      </c>
      <c r="AH69" s="8">
        <v>1.78170332E8</v>
      </c>
      <c r="AI69" s="8">
        <v>5735350.0</v>
      </c>
      <c r="AJ69" s="8">
        <f t="shared" si="6"/>
        <v>1380850401</v>
      </c>
    </row>
    <row r="70" ht="13.5" customHeight="1">
      <c r="A70" s="11">
        <v>69.0</v>
      </c>
      <c r="B70" s="15" t="s">
        <v>149</v>
      </c>
      <c r="C70" s="12" t="s">
        <v>150</v>
      </c>
      <c r="D70" s="6" t="s">
        <v>73</v>
      </c>
      <c r="E70" s="12">
        <v>2025.0</v>
      </c>
      <c r="F70" s="12">
        <v>25.89</v>
      </c>
      <c r="G70" s="16">
        <v>180.0</v>
      </c>
      <c r="H70" s="8">
        <v>1.6043302E7</v>
      </c>
      <c r="I70" s="8">
        <v>6602237.0</v>
      </c>
      <c r="J70" s="8">
        <v>1396176.0</v>
      </c>
      <c r="K70" s="8">
        <v>5.0413969E7</v>
      </c>
      <c r="L70" s="8">
        <f t="shared" si="1"/>
        <v>74455684</v>
      </c>
      <c r="M70" s="8">
        <v>2.80314075E8</v>
      </c>
      <c r="N70" s="8">
        <v>9.55011703E8</v>
      </c>
      <c r="O70" s="8">
        <v>4.7386804E7</v>
      </c>
      <c r="P70" s="8">
        <f t="shared" si="2"/>
        <v>1282712582</v>
      </c>
      <c r="Q70" s="16">
        <v>179.0</v>
      </c>
      <c r="R70" s="8">
        <v>8741963.0</v>
      </c>
      <c r="S70" s="8">
        <v>9289945.0</v>
      </c>
      <c r="T70" s="8">
        <v>373811.0</v>
      </c>
      <c r="U70" s="8">
        <v>1.35630321E8</v>
      </c>
      <c r="V70" s="8">
        <f t="shared" si="3"/>
        <v>154036040</v>
      </c>
      <c r="W70" s="8">
        <v>2.57144089E8</v>
      </c>
      <c r="X70" s="8">
        <v>1.015366957E9</v>
      </c>
      <c r="Y70" s="8">
        <v>3.8289838E7</v>
      </c>
      <c r="Z70" s="8">
        <f t="shared" si="4"/>
        <v>1310800884</v>
      </c>
      <c r="AA70" s="16">
        <v>179.0</v>
      </c>
      <c r="AB70" s="8">
        <v>1.1871543E7</v>
      </c>
      <c r="AC70" s="8">
        <v>1998491.0</v>
      </c>
      <c r="AD70" s="8">
        <v>0.0</v>
      </c>
      <c r="AE70" s="8">
        <v>1.56474636E8</v>
      </c>
      <c r="AF70" s="10">
        <f t="shared" si="5"/>
        <v>170344670</v>
      </c>
      <c r="AG70" s="8">
        <v>2.5530199E8</v>
      </c>
      <c r="AH70" s="8">
        <v>1.415539394E9</v>
      </c>
      <c r="AI70" s="8">
        <v>6714541.0</v>
      </c>
      <c r="AJ70" s="8">
        <f t="shared" si="6"/>
        <v>1677555925</v>
      </c>
    </row>
    <row r="71" ht="13.5" customHeight="1">
      <c r="A71" s="11">
        <v>70.0</v>
      </c>
      <c r="B71" s="12" t="s">
        <v>151</v>
      </c>
      <c r="C71" s="12" t="s">
        <v>144</v>
      </c>
      <c r="D71" s="6" t="s">
        <v>2</v>
      </c>
      <c r="E71" s="12">
        <v>2025.0</v>
      </c>
      <c r="F71" s="12">
        <v>12.09</v>
      </c>
      <c r="G71" s="7">
        <v>1868.0</v>
      </c>
      <c r="H71" s="8">
        <v>9205471.0</v>
      </c>
      <c r="I71" s="8">
        <v>1.34054043E8</v>
      </c>
      <c r="J71" s="8">
        <v>9366289.0</v>
      </c>
      <c r="K71" s="8">
        <v>3.18321136E8</v>
      </c>
      <c r="L71" s="8">
        <f t="shared" si="1"/>
        <v>470946939</v>
      </c>
      <c r="M71" s="8">
        <v>8.70941471E8</v>
      </c>
      <c r="N71" s="8">
        <v>7.25242456E8</v>
      </c>
      <c r="O71" s="8">
        <v>1.70086412E8</v>
      </c>
      <c r="P71" s="8">
        <f t="shared" si="2"/>
        <v>1766270339</v>
      </c>
      <c r="Q71" s="7">
        <v>1304.0</v>
      </c>
      <c r="R71" s="8">
        <v>1.1030155E7</v>
      </c>
      <c r="S71" s="8">
        <v>1.08009756E8</v>
      </c>
      <c r="T71" s="8">
        <v>9426010.0</v>
      </c>
      <c r="U71" s="8">
        <v>2.73677736E8</v>
      </c>
      <c r="V71" s="8">
        <f t="shared" si="3"/>
        <v>402143657</v>
      </c>
      <c r="W71" s="8">
        <v>7.50542314E8</v>
      </c>
      <c r="X71" s="8">
        <v>5.76605716E8</v>
      </c>
      <c r="Y71" s="8">
        <v>1.11963504E8</v>
      </c>
      <c r="Z71" s="8">
        <f t="shared" si="4"/>
        <v>1439111534</v>
      </c>
      <c r="AA71" s="7">
        <v>926.0</v>
      </c>
      <c r="AB71" s="8">
        <v>4991000.0</v>
      </c>
      <c r="AC71" s="8">
        <v>1.01187E8</v>
      </c>
      <c r="AD71" s="8">
        <v>5958000.0</v>
      </c>
      <c r="AE71" s="8">
        <v>1.65008E8</v>
      </c>
      <c r="AF71" s="10">
        <f t="shared" si="5"/>
        <v>277144000</v>
      </c>
      <c r="AG71" s="8">
        <v>7.18029E8</v>
      </c>
      <c r="AH71" s="8">
        <v>4.7534E8</v>
      </c>
      <c r="AI71" s="8">
        <v>9.2479958E7</v>
      </c>
      <c r="AJ71" s="8">
        <f t="shared" si="6"/>
        <v>1285848958</v>
      </c>
    </row>
    <row r="72" ht="13.5" customHeight="1">
      <c r="A72" s="11">
        <v>71.0</v>
      </c>
      <c r="B72" s="12" t="s">
        <v>152</v>
      </c>
      <c r="C72" s="12" t="s">
        <v>153</v>
      </c>
      <c r="D72" s="6" t="s">
        <v>52</v>
      </c>
      <c r="E72" s="12">
        <v>2025.0</v>
      </c>
      <c r="F72" s="12">
        <v>11.34</v>
      </c>
      <c r="G72" s="7">
        <v>810.0</v>
      </c>
      <c r="H72" s="8">
        <v>1.4706114E7</v>
      </c>
      <c r="I72" s="8">
        <v>7.4693198E7</v>
      </c>
      <c r="J72" s="8">
        <v>2.7950359E7</v>
      </c>
      <c r="K72" s="8">
        <v>1.3438936E7</v>
      </c>
      <c r="L72" s="8">
        <f t="shared" si="1"/>
        <v>130788607</v>
      </c>
      <c r="M72" s="8">
        <v>7.05691245E8</v>
      </c>
      <c r="N72" s="8">
        <v>2.71647053E8</v>
      </c>
      <c r="O72" s="8">
        <v>2877583.0</v>
      </c>
      <c r="P72" s="8">
        <f t="shared" si="2"/>
        <v>980215881</v>
      </c>
      <c r="Q72" s="7">
        <v>885.0</v>
      </c>
      <c r="R72" s="8">
        <v>9017459.0</v>
      </c>
      <c r="S72" s="8">
        <v>7.1230151E7</v>
      </c>
      <c r="T72" s="8">
        <v>2.8966181E7</v>
      </c>
      <c r="U72" s="8">
        <v>1.0371977E7</v>
      </c>
      <c r="V72" s="8">
        <f t="shared" si="3"/>
        <v>119585768</v>
      </c>
      <c r="W72" s="8">
        <v>6.08354521E8</v>
      </c>
      <c r="X72" s="8">
        <v>2.600847E8</v>
      </c>
      <c r="Y72" s="8">
        <v>533732.0</v>
      </c>
      <c r="Z72" s="8">
        <f t="shared" si="4"/>
        <v>868972953</v>
      </c>
      <c r="AA72" s="7">
        <v>869.0</v>
      </c>
      <c r="AB72" s="8">
        <v>9382830.0</v>
      </c>
      <c r="AC72" s="8">
        <v>6.4765419E7</v>
      </c>
      <c r="AD72" s="8">
        <v>4.5129018E7</v>
      </c>
      <c r="AE72" s="8">
        <v>1.72136E7</v>
      </c>
      <c r="AF72" s="10">
        <f t="shared" si="5"/>
        <v>136490867</v>
      </c>
      <c r="AG72" s="8">
        <v>5.27856417E8</v>
      </c>
      <c r="AH72" s="8">
        <v>1.78952762E8</v>
      </c>
      <c r="AI72" s="8">
        <v>49724.0</v>
      </c>
      <c r="AJ72" s="8">
        <f t="shared" si="6"/>
        <v>706858903</v>
      </c>
    </row>
    <row r="73" ht="13.5" customHeight="1">
      <c r="A73" s="11">
        <v>72.0</v>
      </c>
      <c r="B73" s="12" t="s">
        <v>154</v>
      </c>
      <c r="C73" s="12" t="s">
        <v>155</v>
      </c>
      <c r="D73" s="6" t="s">
        <v>73</v>
      </c>
      <c r="E73" s="12">
        <v>2025.0</v>
      </c>
      <c r="F73" s="12">
        <v>24.45</v>
      </c>
      <c r="G73" s="7">
        <v>170.0</v>
      </c>
      <c r="H73" s="8">
        <v>2.5411092E7</v>
      </c>
      <c r="I73" s="8">
        <v>5.13950483E8</v>
      </c>
      <c r="J73" s="8">
        <v>7.1825405E7</v>
      </c>
      <c r="K73" s="8">
        <v>2.255062639E9</v>
      </c>
      <c r="L73" s="8">
        <f t="shared" si="1"/>
        <v>2866249619</v>
      </c>
      <c r="M73" s="8">
        <v>3.54385567E8</v>
      </c>
      <c r="N73" s="8">
        <v>2.67955372E8</v>
      </c>
      <c r="O73" s="8">
        <v>3.5679752E7</v>
      </c>
      <c r="P73" s="8">
        <f t="shared" si="2"/>
        <v>658020691</v>
      </c>
      <c r="Q73" s="7">
        <v>131.0</v>
      </c>
      <c r="R73" s="8">
        <v>2.4674941E7</v>
      </c>
      <c r="S73" s="8">
        <v>3.7124759E8</v>
      </c>
      <c r="T73" s="8">
        <v>7.1129164E7</v>
      </c>
      <c r="U73" s="8">
        <v>6.374110895E9</v>
      </c>
      <c r="V73" s="8">
        <f t="shared" si="3"/>
        <v>6841162590</v>
      </c>
      <c r="W73" s="8">
        <v>2.40135927E8</v>
      </c>
      <c r="X73" s="8">
        <v>1.23923177E8</v>
      </c>
      <c r="Y73" s="8">
        <v>5139631.0</v>
      </c>
      <c r="Z73" s="8">
        <f t="shared" si="4"/>
        <v>369198735</v>
      </c>
      <c r="AA73" s="7">
        <v>121.0</v>
      </c>
      <c r="AB73" s="8">
        <v>2.0114426E7</v>
      </c>
      <c r="AC73" s="8">
        <v>1.35743724E8</v>
      </c>
      <c r="AD73" s="8">
        <v>1.8859967E7</v>
      </c>
      <c r="AE73" s="8">
        <v>2.488161963E9</v>
      </c>
      <c r="AF73" s="10">
        <f t="shared" si="5"/>
        <v>2662880080</v>
      </c>
      <c r="AG73" s="8">
        <v>2.23044425E8</v>
      </c>
      <c r="AH73" s="8">
        <v>1.01662874E8</v>
      </c>
      <c r="AI73" s="8">
        <v>8000000.0</v>
      </c>
      <c r="AJ73" s="8">
        <f t="shared" si="6"/>
        <v>332707299</v>
      </c>
    </row>
    <row r="74" ht="13.5" customHeight="1">
      <c r="A74" s="11">
        <v>73.0</v>
      </c>
      <c r="B74" s="12" t="s">
        <v>156</v>
      </c>
      <c r="C74" s="12" t="s">
        <v>157</v>
      </c>
      <c r="D74" s="6" t="s">
        <v>73</v>
      </c>
      <c r="E74" s="12">
        <v>2025.0</v>
      </c>
      <c r="F74" s="12">
        <v>16.29</v>
      </c>
      <c r="G74" s="7">
        <v>758.0</v>
      </c>
      <c r="H74" s="8">
        <v>2.5246509E7</v>
      </c>
      <c r="I74" s="8">
        <v>4.7231985E7</v>
      </c>
      <c r="J74" s="8">
        <v>6261517.0</v>
      </c>
      <c r="K74" s="8">
        <v>1.39395946E8</v>
      </c>
      <c r="L74" s="8">
        <f t="shared" si="1"/>
        <v>218135957</v>
      </c>
      <c r="M74" s="8">
        <v>8.9591585E8</v>
      </c>
      <c r="N74" s="8">
        <v>7.25389122E8</v>
      </c>
      <c r="O74" s="8">
        <v>2.561256E7</v>
      </c>
      <c r="P74" s="8">
        <f t="shared" si="2"/>
        <v>1646917532</v>
      </c>
      <c r="Q74" s="7">
        <v>625.0</v>
      </c>
      <c r="R74" s="8">
        <v>4.4416208E7</v>
      </c>
      <c r="S74" s="8">
        <v>8.8975857E7</v>
      </c>
      <c r="T74" s="8">
        <v>2235820.0</v>
      </c>
      <c r="U74" s="8">
        <v>1.00939887E8</v>
      </c>
      <c r="V74" s="8">
        <f t="shared" si="3"/>
        <v>236567772</v>
      </c>
      <c r="W74" s="8">
        <v>7.69914171E8</v>
      </c>
      <c r="X74" s="8">
        <v>5.94322906E8</v>
      </c>
      <c r="Y74" s="8">
        <v>1.2665392E7</v>
      </c>
      <c r="Z74" s="8">
        <f t="shared" si="4"/>
        <v>1376902469</v>
      </c>
      <c r="AA74" s="7">
        <v>622.0</v>
      </c>
      <c r="AB74" s="8">
        <v>2.6232277E7</v>
      </c>
      <c r="AC74" s="8">
        <v>5.9205988E7</v>
      </c>
      <c r="AD74" s="8">
        <v>7270980.0</v>
      </c>
      <c r="AE74" s="8">
        <v>2.86444629E8</v>
      </c>
      <c r="AF74" s="10">
        <f t="shared" si="5"/>
        <v>379153874</v>
      </c>
      <c r="AG74" s="8">
        <v>6.34425953E8</v>
      </c>
      <c r="AH74" s="8">
        <v>4.93608538E8</v>
      </c>
      <c r="AI74" s="8">
        <v>769899.0</v>
      </c>
      <c r="AJ74" s="8">
        <f t="shared" si="6"/>
        <v>1128804390</v>
      </c>
    </row>
    <row r="75" ht="13.5" customHeight="1">
      <c r="A75" s="11">
        <v>74.0</v>
      </c>
      <c r="B75" s="12" t="s">
        <v>158</v>
      </c>
      <c r="C75" s="12" t="s">
        <v>44</v>
      </c>
      <c r="D75" s="6" t="s">
        <v>2</v>
      </c>
      <c r="E75" s="12">
        <v>2025.0</v>
      </c>
      <c r="F75" s="12">
        <v>14.38</v>
      </c>
      <c r="G75" s="16">
        <v>79.0</v>
      </c>
      <c r="H75" s="8">
        <v>1.0586054E7</v>
      </c>
      <c r="I75" s="8">
        <v>1.4740708E7</v>
      </c>
      <c r="J75" s="8">
        <v>3256154.0</v>
      </c>
      <c r="K75" s="8">
        <v>1.7448756E7</v>
      </c>
      <c r="L75" s="8">
        <f t="shared" si="1"/>
        <v>46031672</v>
      </c>
      <c r="M75" s="8">
        <v>2.13327279E8</v>
      </c>
      <c r="N75" s="8">
        <v>5.2924534E7</v>
      </c>
      <c r="O75" s="8">
        <v>365240.0</v>
      </c>
      <c r="P75" s="8">
        <f t="shared" si="2"/>
        <v>266617053</v>
      </c>
      <c r="Q75" s="16">
        <v>121.0</v>
      </c>
      <c r="R75" s="8">
        <v>1.1761819E7</v>
      </c>
      <c r="S75" s="8">
        <v>226000.0</v>
      </c>
      <c r="T75" s="8">
        <v>336678.0</v>
      </c>
      <c r="U75" s="8">
        <v>4000000.0</v>
      </c>
      <c r="V75" s="8">
        <f t="shared" si="3"/>
        <v>16324497</v>
      </c>
      <c r="W75" s="8">
        <v>2.22257344E8</v>
      </c>
      <c r="X75" s="8">
        <v>9500000.0</v>
      </c>
      <c r="Y75" s="8">
        <v>1900000.0</v>
      </c>
      <c r="Z75" s="8">
        <f t="shared" si="4"/>
        <v>233657344</v>
      </c>
      <c r="AA75" s="16">
        <v>190.0</v>
      </c>
      <c r="AB75" s="8">
        <v>150000.0</v>
      </c>
      <c r="AC75" s="8">
        <v>1.5807812E7</v>
      </c>
      <c r="AD75" s="8">
        <v>1397109.0</v>
      </c>
      <c r="AE75" s="8">
        <v>0.0</v>
      </c>
      <c r="AF75" s="10">
        <f t="shared" si="5"/>
        <v>17354921</v>
      </c>
      <c r="AG75" s="8">
        <v>2.34817353E8</v>
      </c>
      <c r="AH75" s="8">
        <v>8499507.0</v>
      </c>
      <c r="AI75" s="8">
        <v>43535.0</v>
      </c>
      <c r="AJ75" s="8">
        <f t="shared" si="6"/>
        <v>243360395</v>
      </c>
    </row>
    <row r="76" ht="13.5" customHeight="1">
      <c r="A76" s="11">
        <v>75.0</v>
      </c>
      <c r="B76" s="12" t="s">
        <v>159</v>
      </c>
      <c r="C76" s="12" t="s">
        <v>150</v>
      </c>
      <c r="D76" s="6" t="s">
        <v>2</v>
      </c>
      <c r="E76" s="12">
        <v>2025.0</v>
      </c>
      <c r="F76" s="12">
        <v>11.43</v>
      </c>
      <c r="G76" s="7">
        <v>1001.0</v>
      </c>
      <c r="H76" s="8">
        <v>1.0665875E7</v>
      </c>
      <c r="I76" s="8">
        <v>7.9035657E7</v>
      </c>
      <c r="J76" s="8">
        <v>1.6961149E7</v>
      </c>
      <c r="K76" s="8">
        <v>8.3872966E7</v>
      </c>
      <c r="L76" s="8">
        <f t="shared" si="1"/>
        <v>190535647</v>
      </c>
      <c r="M76" s="8">
        <v>7.91798791E8</v>
      </c>
      <c r="N76" s="8">
        <v>4.25116883E8</v>
      </c>
      <c r="O76" s="8">
        <v>8688893.0</v>
      </c>
      <c r="P76" s="8">
        <f t="shared" si="2"/>
        <v>1225604567</v>
      </c>
      <c r="Q76" s="7">
        <v>1066.0</v>
      </c>
      <c r="R76" s="8">
        <v>9384024.0</v>
      </c>
      <c r="S76" s="8">
        <v>5.4296616E7</v>
      </c>
      <c r="T76" s="8">
        <v>1.620798E7</v>
      </c>
      <c r="U76" s="8">
        <v>1.1143419E7</v>
      </c>
      <c r="V76" s="8">
        <f t="shared" si="3"/>
        <v>91032039</v>
      </c>
      <c r="W76" s="8">
        <v>7.51734922E8</v>
      </c>
      <c r="X76" s="8">
        <v>3.43380364E8</v>
      </c>
      <c r="Y76" s="8">
        <v>1.0472202E7</v>
      </c>
      <c r="Z76" s="8">
        <f t="shared" si="4"/>
        <v>1105587488</v>
      </c>
      <c r="AA76" s="7">
        <v>1069.0</v>
      </c>
      <c r="AB76" s="8">
        <v>7142765.0</v>
      </c>
      <c r="AC76" s="8">
        <v>5.9476057E7</v>
      </c>
      <c r="AD76" s="8">
        <v>1.5451631E7</v>
      </c>
      <c r="AE76" s="8">
        <v>1.4953074E7</v>
      </c>
      <c r="AF76" s="10">
        <f t="shared" si="5"/>
        <v>97023527</v>
      </c>
      <c r="AG76" s="8">
        <v>6.87852978E8</v>
      </c>
      <c r="AH76" s="8">
        <v>2.40419708E8</v>
      </c>
      <c r="AI76" s="8">
        <v>3638103.0</v>
      </c>
      <c r="AJ76" s="8">
        <f t="shared" si="6"/>
        <v>931910789</v>
      </c>
    </row>
    <row r="77" ht="13.5" customHeight="1">
      <c r="A77" s="11">
        <v>76.0</v>
      </c>
      <c r="B77" s="12" t="s">
        <v>160</v>
      </c>
      <c r="C77" s="12" t="s">
        <v>150</v>
      </c>
      <c r="D77" s="6" t="s">
        <v>52</v>
      </c>
      <c r="E77" s="12">
        <v>2025.0</v>
      </c>
      <c r="F77" s="12">
        <v>10.97</v>
      </c>
      <c r="G77" s="7">
        <v>455.0</v>
      </c>
      <c r="H77" s="8">
        <v>1.2250175E7</v>
      </c>
      <c r="I77" s="8">
        <v>6254879.0</v>
      </c>
      <c r="J77" s="8">
        <v>2.9414893E7</v>
      </c>
      <c r="K77" s="8">
        <v>1.21565758E8</v>
      </c>
      <c r="L77" s="8">
        <f t="shared" si="1"/>
        <v>169485705</v>
      </c>
      <c r="M77" s="8">
        <v>5.22389542E8</v>
      </c>
      <c r="N77" s="8">
        <v>2.16705912E8</v>
      </c>
      <c r="O77" s="8">
        <v>4555583.0</v>
      </c>
      <c r="P77" s="8">
        <f t="shared" si="2"/>
        <v>743651037</v>
      </c>
      <c r="Q77" s="7">
        <v>380.0</v>
      </c>
      <c r="R77" s="8">
        <v>1.0352835E7</v>
      </c>
      <c r="S77" s="8">
        <v>4175361.0</v>
      </c>
      <c r="T77" s="8">
        <v>1.6284627E7</v>
      </c>
      <c r="U77" s="8">
        <v>2.8191043E7</v>
      </c>
      <c r="V77" s="8">
        <f t="shared" si="3"/>
        <v>59003866</v>
      </c>
      <c r="W77" s="8">
        <v>3.76316868E8</v>
      </c>
      <c r="X77" s="8">
        <v>1.81043556E8</v>
      </c>
      <c r="Y77" s="8">
        <v>689156.0</v>
      </c>
      <c r="Z77" s="8">
        <f t="shared" si="4"/>
        <v>558049580</v>
      </c>
      <c r="AA77" s="7">
        <v>476.0</v>
      </c>
      <c r="AB77" s="8">
        <v>6790153.0</v>
      </c>
      <c r="AC77" s="8">
        <v>5764519.0</v>
      </c>
      <c r="AD77" s="8">
        <v>6320671.0</v>
      </c>
      <c r="AE77" s="8">
        <v>1.1726264E7</v>
      </c>
      <c r="AF77" s="10">
        <f t="shared" si="5"/>
        <v>30601607</v>
      </c>
      <c r="AG77" s="8">
        <v>3.16462787E8</v>
      </c>
      <c r="AH77" s="8">
        <v>2.5169308E7</v>
      </c>
      <c r="AI77" s="8">
        <v>426966.0</v>
      </c>
      <c r="AJ77" s="8">
        <f t="shared" si="6"/>
        <v>342059061</v>
      </c>
    </row>
    <row r="78" ht="13.5" customHeight="1">
      <c r="A78" s="11">
        <v>77.0</v>
      </c>
      <c r="B78" s="15" t="s">
        <v>161</v>
      </c>
      <c r="C78" s="12" t="s">
        <v>162</v>
      </c>
      <c r="D78" s="6" t="s">
        <v>73</v>
      </c>
      <c r="E78" s="12">
        <v>2025.0</v>
      </c>
      <c r="F78" s="12">
        <v>19.88</v>
      </c>
      <c r="G78" s="7">
        <v>160.0</v>
      </c>
      <c r="H78" s="8">
        <v>4.987182E7</v>
      </c>
      <c r="I78" s="8">
        <v>3.68395935E8</v>
      </c>
      <c r="J78" s="8">
        <v>2865058.0</v>
      </c>
      <c r="K78" s="8">
        <v>4.30534684E8</v>
      </c>
      <c r="L78" s="8">
        <f t="shared" si="1"/>
        <v>851667497</v>
      </c>
      <c r="M78" s="8">
        <v>3.56859562E8</v>
      </c>
      <c r="N78" s="8">
        <v>2.92806819E8</v>
      </c>
      <c r="O78" s="8">
        <v>5980923.0</v>
      </c>
      <c r="P78" s="8">
        <f t="shared" si="2"/>
        <v>655647304</v>
      </c>
      <c r="Q78" s="7">
        <v>127.0</v>
      </c>
      <c r="R78" s="8">
        <v>2030499.0</v>
      </c>
      <c r="S78" s="8">
        <v>6.6387287E7</v>
      </c>
      <c r="T78" s="8">
        <v>9146560.0</v>
      </c>
      <c r="U78" s="8">
        <v>7712328.0</v>
      </c>
      <c r="V78" s="8">
        <f t="shared" si="3"/>
        <v>85276674</v>
      </c>
      <c r="W78" s="8">
        <v>2.13163355E8</v>
      </c>
      <c r="X78" s="8">
        <v>9.2315806E7</v>
      </c>
      <c r="Y78" s="8">
        <v>674258.0</v>
      </c>
      <c r="Z78" s="8">
        <f t="shared" si="4"/>
        <v>306153419</v>
      </c>
      <c r="AA78" s="7">
        <v>117.0</v>
      </c>
      <c r="AB78" s="8">
        <v>2.6177635E7</v>
      </c>
      <c r="AC78" s="8">
        <v>2.3039441E7</v>
      </c>
      <c r="AD78" s="8">
        <v>9589546.0</v>
      </c>
      <c r="AE78" s="8">
        <v>1.2974707E7</v>
      </c>
      <c r="AF78" s="10">
        <f t="shared" si="5"/>
        <v>71781329</v>
      </c>
      <c r="AG78" s="8">
        <v>1.76862332E8</v>
      </c>
      <c r="AH78" s="8">
        <v>6.6968117E7</v>
      </c>
      <c r="AI78" s="8">
        <v>510025.0</v>
      </c>
      <c r="AJ78" s="8">
        <f t="shared" si="6"/>
        <v>244340474</v>
      </c>
    </row>
    <row r="79" ht="13.5" customHeight="1">
      <c r="A79" s="11">
        <v>78.0</v>
      </c>
      <c r="B79" s="12" t="s">
        <v>163</v>
      </c>
      <c r="C79" s="12" t="s">
        <v>164</v>
      </c>
      <c r="D79" s="6" t="s">
        <v>73</v>
      </c>
      <c r="E79" s="12">
        <v>2025.0</v>
      </c>
      <c r="F79" s="12">
        <v>20.26</v>
      </c>
      <c r="G79" s="7">
        <v>182.0</v>
      </c>
      <c r="H79" s="8">
        <v>4220711.0</v>
      </c>
      <c r="I79" s="8">
        <v>2.72655685E8</v>
      </c>
      <c r="J79" s="8">
        <v>2223451.0</v>
      </c>
      <c r="K79" s="8">
        <v>4.0228474E7</v>
      </c>
      <c r="L79" s="8">
        <f t="shared" si="1"/>
        <v>319328321</v>
      </c>
      <c r="M79" s="8">
        <v>4.03267026E8</v>
      </c>
      <c r="N79" s="8">
        <v>2.39762326E8</v>
      </c>
      <c r="O79" s="8">
        <v>7533458.0</v>
      </c>
      <c r="P79" s="8">
        <f t="shared" si="2"/>
        <v>650562810</v>
      </c>
      <c r="Q79" s="7">
        <v>128.0</v>
      </c>
      <c r="R79" s="8">
        <v>3064659.0</v>
      </c>
      <c r="S79" s="8">
        <v>1.40757719E8</v>
      </c>
      <c r="T79" s="8">
        <v>8756800.0</v>
      </c>
      <c r="U79" s="8">
        <v>4.8913855E7</v>
      </c>
      <c r="V79" s="8">
        <f t="shared" si="3"/>
        <v>201493033</v>
      </c>
      <c r="W79" s="8">
        <v>3.15332664E8</v>
      </c>
      <c r="X79" s="8">
        <v>1.89804668E8</v>
      </c>
      <c r="Y79" s="8">
        <v>6692449.0</v>
      </c>
      <c r="Z79" s="8">
        <f t="shared" si="4"/>
        <v>511829781</v>
      </c>
      <c r="AA79" s="7">
        <v>111.0</v>
      </c>
      <c r="AB79" s="8">
        <v>1.348421E7</v>
      </c>
      <c r="AC79" s="8">
        <v>8.9407919E7</v>
      </c>
      <c r="AD79" s="8">
        <v>0.0</v>
      </c>
      <c r="AE79" s="8">
        <v>8884446.0</v>
      </c>
      <c r="AF79" s="10">
        <f t="shared" si="5"/>
        <v>111776575</v>
      </c>
      <c r="AG79" s="8">
        <v>2.63335672E8</v>
      </c>
      <c r="AH79" s="8">
        <v>1.47687496E8</v>
      </c>
      <c r="AI79" s="8">
        <v>3139293.0</v>
      </c>
      <c r="AJ79" s="8">
        <f t="shared" si="6"/>
        <v>414162461</v>
      </c>
    </row>
    <row r="80" ht="13.5" customHeight="1">
      <c r="A80" s="11">
        <v>79.0</v>
      </c>
      <c r="B80" s="15" t="s">
        <v>165</v>
      </c>
      <c r="C80" s="12" t="s">
        <v>166</v>
      </c>
      <c r="D80" s="6" t="s">
        <v>73</v>
      </c>
      <c r="E80" s="12">
        <v>2025.0</v>
      </c>
      <c r="F80" s="12">
        <v>22.29</v>
      </c>
      <c r="G80" s="7">
        <v>257.0</v>
      </c>
      <c r="H80" s="8">
        <v>1.348438E7</v>
      </c>
      <c r="I80" s="8">
        <v>2.9089872E7</v>
      </c>
      <c r="J80" s="8">
        <v>14634.0</v>
      </c>
      <c r="K80" s="8">
        <v>2.5778501E7</v>
      </c>
      <c r="L80" s="8">
        <f t="shared" si="1"/>
        <v>68367387</v>
      </c>
      <c r="M80" s="8">
        <v>5.88577332E8</v>
      </c>
      <c r="N80" s="8">
        <v>3.36062981E8</v>
      </c>
      <c r="O80" s="8">
        <v>5.0740005E7</v>
      </c>
      <c r="P80" s="8">
        <f t="shared" si="2"/>
        <v>975380318</v>
      </c>
      <c r="Q80" s="7">
        <v>211.0</v>
      </c>
      <c r="R80" s="8">
        <v>1.9264334E7</v>
      </c>
      <c r="S80" s="8">
        <v>2.0978848E7</v>
      </c>
      <c r="T80" s="8">
        <v>472081.0</v>
      </c>
      <c r="U80" s="8">
        <v>7.96581E7</v>
      </c>
      <c r="V80" s="8">
        <f t="shared" si="3"/>
        <v>120373363</v>
      </c>
      <c r="W80" s="8">
        <v>5.7646427E8</v>
      </c>
      <c r="X80" s="8">
        <v>3.23016297E8</v>
      </c>
      <c r="Y80" s="8">
        <v>857447.0</v>
      </c>
      <c r="Z80" s="8">
        <f t="shared" si="4"/>
        <v>900338014</v>
      </c>
      <c r="AA80" s="7">
        <v>173.0</v>
      </c>
      <c r="AB80" s="8">
        <v>1.8684956E7</v>
      </c>
      <c r="AC80" s="8">
        <v>2.7511605E7</v>
      </c>
      <c r="AD80" s="8">
        <v>438841.0</v>
      </c>
      <c r="AE80" s="8">
        <v>3.3281975E7</v>
      </c>
      <c r="AF80" s="10">
        <f t="shared" si="5"/>
        <v>79917377</v>
      </c>
      <c r="AG80" s="8">
        <v>5.08787974E8</v>
      </c>
      <c r="AH80" s="8">
        <v>3.24539553E8</v>
      </c>
      <c r="AI80" s="8">
        <v>1118373.0</v>
      </c>
      <c r="AJ80" s="8">
        <f t="shared" si="6"/>
        <v>834445900</v>
      </c>
    </row>
    <row r="81" ht="13.5" customHeight="1">
      <c r="A81" s="11">
        <v>80.0</v>
      </c>
      <c r="B81" s="12" t="s">
        <v>167</v>
      </c>
      <c r="C81" s="12" t="s">
        <v>168</v>
      </c>
      <c r="D81" s="6" t="s">
        <v>80</v>
      </c>
      <c r="E81" s="12">
        <v>2025.0</v>
      </c>
      <c r="F81" s="12">
        <v>7.21</v>
      </c>
      <c r="G81" s="7">
        <v>1602.0</v>
      </c>
      <c r="H81" s="8">
        <v>1.7832486E7</v>
      </c>
      <c r="I81" s="8">
        <v>6.5792618E7</v>
      </c>
      <c r="J81" s="8">
        <v>1.4510133E7</v>
      </c>
      <c r="K81" s="8">
        <v>9.781941E7</v>
      </c>
      <c r="L81" s="8">
        <f t="shared" si="1"/>
        <v>195954647</v>
      </c>
      <c r="M81" s="8">
        <v>5.4991672E8</v>
      </c>
      <c r="N81" s="8">
        <v>3.91430514E8</v>
      </c>
      <c r="O81" s="8">
        <v>4686164.0</v>
      </c>
      <c r="P81" s="8">
        <f t="shared" si="2"/>
        <v>946033398</v>
      </c>
      <c r="Q81" s="7">
        <v>1715.0</v>
      </c>
      <c r="R81" s="8">
        <v>1.2425806E7</v>
      </c>
      <c r="S81" s="8">
        <v>4.2250151E7</v>
      </c>
      <c r="T81" s="8">
        <v>6564600.0</v>
      </c>
      <c r="U81" s="8">
        <v>5.8122535E7</v>
      </c>
      <c r="V81" s="8">
        <f t="shared" si="3"/>
        <v>119363092</v>
      </c>
      <c r="W81" s="8">
        <v>4.52468671E8</v>
      </c>
      <c r="X81" s="8">
        <v>4.33128804E8</v>
      </c>
      <c r="Y81" s="8">
        <v>5992909.0</v>
      </c>
      <c r="Z81" s="8">
        <f t="shared" si="4"/>
        <v>891590384</v>
      </c>
      <c r="AA81" s="7">
        <v>1654.0</v>
      </c>
      <c r="AB81" s="8">
        <v>8009176.0</v>
      </c>
      <c r="AC81" s="8">
        <v>2.0098117E7</v>
      </c>
      <c r="AD81" s="8">
        <v>3703204.0</v>
      </c>
      <c r="AE81" s="8">
        <v>3.4622127E7</v>
      </c>
      <c r="AF81" s="10">
        <f t="shared" si="5"/>
        <v>66432624</v>
      </c>
      <c r="AG81" s="8">
        <v>3.77806077E8</v>
      </c>
      <c r="AH81" s="8">
        <v>3.60650608E8</v>
      </c>
      <c r="AI81" s="8">
        <v>4202500.0</v>
      </c>
      <c r="AJ81" s="8">
        <f t="shared" si="6"/>
        <v>742659185</v>
      </c>
    </row>
    <row r="82" ht="13.5" customHeight="1">
      <c r="A82" s="11">
        <v>81.0</v>
      </c>
      <c r="B82" s="12" t="s">
        <v>169</v>
      </c>
      <c r="C82" s="12" t="s">
        <v>170</v>
      </c>
      <c r="D82" s="6" t="s">
        <v>73</v>
      </c>
      <c r="E82" s="12">
        <v>2025.0</v>
      </c>
      <c r="F82" s="12">
        <v>13.33</v>
      </c>
      <c r="G82" s="7">
        <v>1012.0</v>
      </c>
      <c r="H82" s="8">
        <v>3.4820947E7</v>
      </c>
      <c r="I82" s="8">
        <v>5.5876242E7</v>
      </c>
      <c r="J82" s="8">
        <v>2.23359599E8</v>
      </c>
      <c r="K82" s="8">
        <v>1.69894174E8</v>
      </c>
      <c r="L82" s="8">
        <f t="shared" si="1"/>
        <v>483950962</v>
      </c>
      <c r="M82" s="8">
        <v>9.83074998E8</v>
      </c>
      <c r="N82" s="8">
        <v>4.88412944E8</v>
      </c>
      <c r="O82" s="8">
        <v>6609004.0</v>
      </c>
      <c r="P82" s="8">
        <f t="shared" si="2"/>
        <v>1478096946</v>
      </c>
      <c r="Q82" s="7">
        <v>936.0</v>
      </c>
      <c r="R82" s="8">
        <v>1.6160397E7</v>
      </c>
      <c r="S82" s="8">
        <v>1.5783449E7</v>
      </c>
      <c r="T82" s="8">
        <v>4.9328653E7</v>
      </c>
      <c r="U82" s="8">
        <v>9.3198806E7</v>
      </c>
      <c r="V82" s="8">
        <f t="shared" si="3"/>
        <v>174471305</v>
      </c>
      <c r="W82" s="8">
        <v>9.35347205E8</v>
      </c>
      <c r="X82" s="8">
        <v>5.46956252E8</v>
      </c>
      <c r="Y82" s="8">
        <v>9326787.0</v>
      </c>
      <c r="Z82" s="8">
        <f t="shared" si="4"/>
        <v>1491630244</v>
      </c>
      <c r="AA82" s="7">
        <v>835.0</v>
      </c>
      <c r="AB82" s="8">
        <v>4.4506863E7</v>
      </c>
      <c r="AC82" s="8">
        <v>2.5300567E7</v>
      </c>
      <c r="AD82" s="8">
        <v>9.3839064E7</v>
      </c>
      <c r="AE82" s="8">
        <v>1.59182034E8</v>
      </c>
      <c r="AF82" s="10">
        <f t="shared" si="5"/>
        <v>322828528</v>
      </c>
      <c r="AG82" s="8">
        <v>8.25071628E8</v>
      </c>
      <c r="AH82" s="8">
        <v>1.39791542E8</v>
      </c>
      <c r="AI82" s="8">
        <v>3027420.0</v>
      </c>
      <c r="AJ82" s="8">
        <f t="shared" si="6"/>
        <v>967890590</v>
      </c>
    </row>
    <row r="83" ht="13.5" customHeight="1">
      <c r="A83" s="11">
        <v>82.0</v>
      </c>
      <c r="B83" s="15" t="s">
        <v>171</v>
      </c>
      <c r="C83" s="12" t="s">
        <v>172</v>
      </c>
      <c r="D83" s="6" t="s">
        <v>73</v>
      </c>
      <c r="E83" s="12">
        <v>2025.0</v>
      </c>
      <c r="F83" s="12">
        <v>14.68</v>
      </c>
      <c r="G83" s="7">
        <v>751.0</v>
      </c>
      <c r="H83" s="8">
        <v>6.4619296E7</v>
      </c>
      <c r="I83" s="8">
        <v>3.7165334E7</v>
      </c>
      <c r="J83" s="8">
        <v>7808673.0</v>
      </c>
      <c r="K83" s="8">
        <v>1.17932029E8</v>
      </c>
      <c r="L83" s="8">
        <f t="shared" si="1"/>
        <v>227525332</v>
      </c>
      <c r="M83" s="8">
        <v>8.92977412E8</v>
      </c>
      <c r="N83" s="8">
        <v>4.70807984E8</v>
      </c>
      <c r="O83" s="8">
        <v>1.6800642E7</v>
      </c>
      <c r="P83" s="8">
        <f t="shared" si="2"/>
        <v>1380586038</v>
      </c>
      <c r="Q83" s="7">
        <v>676.0</v>
      </c>
      <c r="R83" s="8">
        <v>2.6960364E7</v>
      </c>
      <c r="S83" s="8">
        <v>4.0039505E7</v>
      </c>
      <c r="T83" s="8">
        <v>1.5642801E7</v>
      </c>
      <c r="U83" s="8">
        <v>2.05437744E8</v>
      </c>
      <c r="V83" s="8">
        <f t="shared" si="3"/>
        <v>288080414</v>
      </c>
      <c r="W83" s="8">
        <v>7.40051982E8</v>
      </c>
      <c r="X83" s="8">
        <v>3.25776674E8</v>
      </c>
      <c r="Y83" s="8">
        <v>6575955.0</v>
      </c>
      <c r="Z83" s="8">
        <f t="shared" si="4"/>
        <v>1072404611</v>
      </c>
      <c r="AA83" s="7">
        <v>653.0</v>
      </c>
      <c r="AB83" s="8">
        <v>1.6159011E7</v>
      </c>
      <c r="AC83" s="8">
        <v>3.270287E7</v>
      </c>
      <c r="AD83" s="8">
        <v>1.0276185E7</v>
      </c>
      <c r="AE83" s="8">
        <v>1.16807266E8</v>
      </c>
      <c r="AF83" s="10">
        <f t="shared" si="5"/>
        <v>175945332</v>
      </c>
      <c r="AG83" s="8">
        <v>6.5430585E8</v>
      </c>
      <c r="AH83" s="8">
        <v>2.70257352E8</v>
      </c>
      <c r="AI83" s="8">
        <v>2872735.0</v>
      </c>
      <c r="AJ83" s="8">
        <f t="shared" si="6"/>
        <v>927435937</v>
      </c>
    </row>
    <row r="84" ht="13.5" customHeight="1">
      <c r="A84" s="11">
        <v>83.0</v>
      </c>
      <c r="B84" s="15" t="s">
        <v>173</v>
      </c>
      <c r="C84" s="12" t="s">
        <v>174</v>
      </c>
      <c r="D84" s="6" t="s">
        <v>73</v>
      </c>
      <c r="E84" s="12">
        <v>2025.0</v>
      </c>
      <c r="F84" s="12">
        <v>17.72</v>
      </c>
      <c r="G84" s="7">
        <v>148.0</v>
      </c>
      <c r="H84" s="8">
        <v>2.4124587E7</v>
      </c>
      <c r="I84" s="8">
        <v>3.9496932E7</v>
      </c>
      <c r="J84" s="8">
        <v>3470187.0</v>
      </c>
      <c r="K84" s="8">
        <v>9.9441194E7</v>
      </c>
      <c r="L84" s="8">
        <f t="shared" si="1"/>
        <v>166532900</v>
      </c>
      <c r="M84" s="8">
        <v>2.9279817E8</v>
      </c>
      <c r="N84" s="8">
        <v>7.3692129E7</v>
      </c>
      <c r="O84" s="8">
        <v>7729632.0</v>
      </c>
      <c r="P84" s="8">
        <f t="shared" si="2"/>
        <v>374219931</v>
      </c>
      <c r="Q84" s="7">
        <v>154.0</v>
      </c>
      <c r="R84" s="8">
        <v>1.6861743E7</v>
      </c>
      <c r="S84" s="8">
        <v>1.42778633E8</v>
      </c>
      <c r="T84" s="8">
        <v>9.9515262E7</v>
      </c>
      <c r="U84" s="8">
        <v>8.1677607E7</v>
      </c>
      <c r="V84" s="8">
        <f t="shared" si="3"/>
        <v>340833245</v>
      </c>
      <c r="W84" s="8">
        <v>2.17245251E8</v>
      </c>
      <c r="X84" s="8">
        <v>5.9528568E7</v>
      </c>
      <c r="Y84" s="8">
        <v>2642184.0</v>
      </c>
      <c r="Z84" s="8">
        <f t="shared" si="4"/>
        <v>279416003</v>
      </c>
      <c r="AA84" s="7">
        <v>152.0</v>
      </c>
      <c r="AB84" s="8">
        <v>1.4376948E7</v>
      </c>
      <c r="AC84" s="8">
        <v>1.32653331E8</v>
      </c>
      <c r="AD84" s="8">
        <v>4094541.0</v>
      </c>
      <c r="AE84" s="8">
        <v>3.0480857E7</v>
      </c>
      <c r="AF84" s="10">
        <f t="shared" si="5"/>
        <v>181605677</v>
      </c>
      <c r="AG84" s="8">
        <v>2.1774844E8</v>
      </c>
      <c r="AH84" s="8">
        <v>4.5566401E7</v>
      </c>
      <c r="AI84" s="8">
        <v>56500.0</v>
      </c>
      <c r="AJ84" s="8">
        <f t="shared" si="6"/>
        <v>263371341</v>
      </c>
    </row>
    <row r="85" ht="13.5" customHeight="1">
      <c r="A85" s="11">
        <v>84.0</v>
      </c>
      <c r="B85" s="15" t="s">
        <v>175</v>
      </c>
      <c r="C85" s="12" t="s">
        <v>150</v>
      </c>
      <c r="D85" s="6" t="s">
        <v>52</v>
      </c>
      <c r="E85" s="12">
        <v>2025.0</v>
      </c>
      <c r="F85" s="12">
        <v>9.56</v>
      </c>
      <c r="G85" s="7">
        <v>1015.0</v>
      </c>
      <c r="H85" s="8">
        <v>1.9932716E7</v>
      </c>
      <c r="I85" s="8">
        <v>8745821.0</v>
      </c>
      <c r="J85" s="8">
        <v>2294654.0</v>
      </c>
      <c r="K85" s="8">
        <v>1.36285284E8</v>
      </c>
      <c r="L85" s="8">
        <f t="shared" si="1"/>
        <v>167258475</v>
      </c>
      <c r="M85" s="8">
        <v>7.21694301E8</v>
      </c>
      <c r="N85" s="8">
        <v>2.98200402E8</v>
      </c>
      <c r="O85" s="8">
        <v>2614956.0</v>
      </c>
      <c r="P85" s="8">
        <f t="shared" si="2"/>
        <v>1022509659</v>
      </c>
      <c r="Q85" s="7">
        <v>1084.0</v>
      </c>
      <c r="R85" s="8">
        <v>1.9864312E7</v>
      </c>
      <c r="S85" s="8">
        <v>1.0152686E7</v>
      </c>
      <c r="T85" s="8">
        <v>2192517.0</v>
      </c>
      <c r="U85" s="8">
        <v>1.15622557E8</v>
      </c>
      <c r="V85" s="8">
        <f t="shared" si="3"/>
        <v>147832072</v>
      </c>
      <c r="W85" s="8">
        <v>6.51715652E8</v>
      </c>
      <c r="X85" s="8">
        <v>1.80265923E8</v>
      </c>
      <c r="Y85" s="8">
        <v>3518480.0</v>
      </c>
      <c r="Z85" s="8">
        <f t="shared" si="4"/>
        <v>835500055</v>
      </c>
      <c r="AA85" s="7">
        <v>865.0</v>
      </c>
      <c r="AB85" s="8">
        <v>1.8788723E7</v>
      </c>
      <c r="AC85" s="8">
        <v>9369584.0</v>
      </c>
      <c r="AD85" s="8">
        <v>5213526.0</v>
      </c>
      <c r="AE85" s="8">
        <v>9.8628713E7</v>
      </c>
      <c r="AF85" s="10">
        <f t="shared" si="5"/>
        <v>132000546</v>
      </c>
      <c r="AG85" s="8">
        <v>5.61278263E8</v>
      </c>
      <c r="AH85" s="8">
        <v>1.33859344E8</v>
      </c>
      <c r="AI85" s="8">
        <v>1475579.0</v>
      </c>
      <c r="AJ85" s="8">
        <f t="shared" si="6"/>
        <v>696613186</v>
      </c>
    </row>
    <row r="86" ht="13.5" customHeight="1">
      <c r="A86" s="11">
        <v>85.0</v>
      </c>
      <c r="B86" s="15" t="s">
        <v>176</v>
      </c>
      <c r="C86" s="12" t="s">
        <v>177</v>
      </c>
      <c r="D86" s="6" t="s">
        <v>73</v>
      </c>
      <c r="E86" s="12">
        <v>2025.0</v>
      </c>
      <c r="F86" s="12">
        <v>13.49</v>
      </c>
      <c r="G86" s="7">
        <v>1155.0</v>
      </c>
      <c r="H86" s="8">
        <v>3.4026E7</v>
      </c>
      <c r="I86" s="8">
        <v>2.2806E7</v>
      </c>
      <c r="J86" s="8">
        <v>2.0127E7</v>
      </c>
      <c r="K86" s="8">
        <v>9.6807E7</v>
      </c>
      <c r="L86" s="8">
        <f t="shared" si="1"/>
        <v>173766000</v>
      </c>
      <c r="M86" s="8">
        <v>1.048845E9</v>
      </c>
      <c r="N86" s="8">
        <v>4.83262E8</v>
      </c>
      <c r="O86" s="8">
        <v>2.1549E7</v>
      </c>
      <c r="P86" s="8">
        <f t="shared" si="2"/>
        <v>1553656000</v>
      </c>
      <c r="Q86" s="7">
        <v>959.0</v>
      </c>
      <c r="R86" s="8">
        <v>3.6730573E7</v>
      </c>
      <c r="S86" s="8">
        <v>2.1739204E7</v>
      </c>
      <c r="T86" s="8">
        <v>3.0369437E7</v>
      </c>
      <c r="U86" s="8">
        <v>1.28420884E8</v>
      </c>
      <c r="V86" s="8">
        <f t="shared" si="3"/>
        <v>217260098</v>
      </c>
      <c r="W86" s="8">
        <v>1.03547E9</v>
      </c>
      <c r="X86" s="8">
        <v>3.8287E8</v>
      </c>
      <c r="Y86" s="8">
        <v>1.9994914E7</v>
      </c>
      <c r="Z86" s="8">
        <f t="shared" si="4"/>
        <v>1438334914</v>
      </c>
      <c r="AA86" s="7">
        <v>841.0</v>
      </c>
      <c r="AB86" s="8">
        <v>3.0389473E7</v>
      </c>
      <c r="AC86" s="8">
        <v>1.44113742E8</v>
      </c>
      <c r="AD86" s="8">
        <v>5.7134465E7</v>
      </c>
      <c r="AE86" s="8">
        <v>2307912.0</v>
      </c>
      <c r="AF86" s="10">
        <f t="shared" si="5"/>
        <v>233945592</v>
      </c>
      <c r="AG86" s="8">
        <v>9.90442E8</v>
      </c>
      <c r="AH86" s="8">
        <v>3.86617E8</v>
      </c>
      <c r="AI86" s="8">
        <v>3845000.0</v>
      </c>
      <c r="AJ86" s="8">
        <f t="shared" si="6"/>
        <v>1380904000</v>
      </c>
    </row>
    <row r="87" ht="13.5" customHeight="1">
      <c r="A87" s="11">
        <v>86.0</v>
      </c>
      <c r="B87" s="15" t="s">
        <v>178</v>
      </c>
      <c r="C87" s="12" t="s">
        <v>179</v>
      </c>
      <c r="D87" s="6" t="s">
        <v>73</v>
      </c>
      <c r="E87" s="12">
        <v>2025.0</v>
      </c>
      <c r="F87" s="12">
        <v>11.47</v>
      </c>
      <c r="G87" s="7">
        <v>1086.0</v>
      </c>
      <c r="H87" s="8">
        <v>1.8121341E7</v>
      </c>
      <c r="I87" s="8">
        <v>3.067207E7</v>
      </c>
      <c r="J87" s="8">
        <v>3430395.0</v>
      </c>
      <c r="K87" s="8">
        <v>5.4899237E7</v>
      </c>
      <c r="L87" s="8">
        <f t="shared" si="1"/>
        <v>107123043</v>
      </c>
      <c r="M87" s="8">
        <v>7.57896128E8</v>
      </c>
      <c r="N87" s="8">
        <v>4.22229913E8</v>
      </c>
      <c r="O87" s="8">
        <v>5976087.0</v>
      </c>
      <c r="P87" s="8">
        <f t="shared" si="2"/>
        <v>1186102128</v>
      </c>
      <c r="Q87" s="7">
        <v>996.0</v>
      </c>
      <c r="R87" s="8">
        <v>1.6503099E7</v>
      </c>
      <c r="S87" s="8">
        <v>3.148431E7</v>
      </c>
      <c r="T87" s="8">
        <v>1037925.0</v>
      </c>
      <c r="U87" s="8">
        <v>5.2906875E7</v>
      </c>
      <c r="V87" s="8">
        <f t="shared" si="3"/>
        <v>101932209</v>
      </c>
      <c r="W87" s="8">
        <v>6.72898789E8</v>
      </c>
      <c r="X87" s="8">
        <v>3.84790085E8</v>
      </c>
      <c r="Y87" s="8">
        <v>4295313.0</v>
      </c>
      <c r="Z87" s="8">
        <f t="shared" si="4"/>
        <v>1061984187</v>
      </c>
      <c r="AA87" s="7">
        <v>903.0</v>
      </c>
      <c r="AB87" s="8">
        <v>1.6319824E7</v>
      </c>
      <c r="AC87" s="8">
        <v>3.3725187E7</v>
      </c>
      <c r="AD87" s="8">
        <v>1774500.0</v>
      </c>
      <c r="AE87" s="8">
        <v>1.0427612E8</v>
      </c>
      <c r="AF87" s="10">
        <f t="shared" si="5"/>
        <v>156095631</v>
      </c>
      <c r="AG87" s="8">
        <v>5.77651848E8</v>
      </c>
      <c r="AH87" s="8">
        <v>3.53402251E8</v>
      </c>
      <c r="AI87" s="8">
        <v>1027493.0</v>
      </c>
      <c r="AJ87" s="8">
        <f t="shared" si="6"/>
        <v>932081592</v>
      </c>
    </row>
    <row r="88" ht="13.5" customHeight="1">
      <c r="A88" s="11">
        <v>87.0</v>
      </c>
      <c r="B88" s="15" t="s">
        <v>180</v>
      </c>
      <c r="C88" s="12" t="s">
        <v>37</v>
      </c>
      <c r="D88" s="6" t="s">
        <v>52</v>
      </c>
      <c r="E88" s="12">
        <v>2025.0</v>
      </c>
      <c r="F88" s="12">
        <v>6.6</v>
      </c>
      <c r="G88" s="7">
        <v>1701.0</v>
      </c>
      <c r="H88" s="8">
        <v>1668132.0</v>
      </c>
      <c r="I88" s="8">
        <v>5.4262109E7</v>
      </c>
      <c r="J88" s="8">
        <v>0.0</v>
      </c>
      <c r="K88" s="8">
        <v>5.0912317E7</v>
      </c>
      <c r="L88" s="8">
        <f t="shared" si="1"/>
        <v>106842558</v>
      </c>
      <c r="M88" s="8">
        <v>8.21877836E8</v>
      </c>
      <c r="N88" s="8">
        <v>4.28637805E8</v>
      </c>
      <c r="O88" s="8">
        <v>2574126.0</v>
      </c>
      <c r="P88" s="8">
        <f t="shared" si="2"/>
        <v>1253089767</v>
      </c>
      <c r="Q88" s="7">
        <v>2347.0</v>
      </c>
      <c r="R88" s="8">
        <v>3007321.0</v>
      </c>
      <c r="S88" s="8">
        <v>3.4005665E7</v>
      </c>
      <c r="T88" s="8">
        <v>1.1964743E7</v>
      </c>
      <c r="U88" s="8">
        <v>1.047308E7</v>
      </c>
      <c r="V88" s="8">
        <f t="shared" si="3"/>
        <v>59450809</v>
      </c>
      <c r="W88" s="8">
        <v>7.10750705E8</v>
      </c>
      <c r="X88" s="8">
        <v>1.89325932E8</v>
      </c>
      <c r="Y88" s="8">
        <v>5723385.0</v>
      </c>
      <c r="Z88" s="8">
        <f t="shared" si="4"/>
        <v>905800022</v>
      </c>
      <c r="AA88" s="7">
        <v>2016.0</v>
      </c>
      <c r="AB88" s="8">
        <v>717008.0</v>
      </c>
      <c r="AC88" s="8">
        <v>1.335425E7</v>
      </c>
      <c r="AD88" s="8">
        <v>2218739.0</v>
      </c>
      <c r="AE88" s="8">
        <v>2.4910693E7</v>
      </c>
      <c r="AF88" s="10">
        <f t="shared" si="5"/>
        <v>41200690</v>
      </c>
      <c r="AG88" s="8">
        <v>4.95346116E8</v>
      </c>
      <c r="AH88" s="8">
        <v>1.20541321E8</v>
      </c>
      <c r="AI88" s="8">
        <v>1390951.0</v>
      </c>
      <c r="AJ88" s="8">
        <f t="shared" si="6"/>
        <v>617278388</v>
      </c>
    </row>
    <row r="89" ht="13.5" customHeight="1">
      <c r="A89" s="11">
        <v>88.0</v>
      </c>
      <c r="B89" s="15" t="s">
        <v>181</v>
      </c>
      <c r="C89" s="12" t="s">
        <v>182</v>
      </c>
      <c r="D89" s="6" t="s">
        <v>2</v>
      </c>
      <c r="E89" s="12">
        <v>2025.0</v>
      </c>
      <c r="F89" s="12">
        <v>19.84</v>
      </c>
      <c r="G89" s="7">
        <v>530.0</v>
      </c>
      <c r="H89" s="8">
        <v>4.2124547E7</v>
      </c>
      <c r="I89" s="8">
        <v>6.64884212E8</v>
      </c>
      <c r="J89" s="8">
        <v>1.34514574E8</v>
      </c>
      <c r="K89" s="8">
        <v>1.34512812E8</v>
      </c>
      <c r="L89" s="8">
        <f t="shared" si="1"/>
        <v>976036145</v>
      </c>
      <c r="M89" s="8">
        <v>1.257453124E9</v>
      </c>
      <c r="N89" s="8">
        <v>2.94512457E8</v>
      </c>
      <c r="O89" s="8">
        <v>9347854.0</v>
      </c>
      <c r="P89" s="8">
        <f t="shared" si="2"/>
        <v>1561313435</v>
      </c>
      <c r="Q89" s="7">
        <v>530.0</v>
      </c>
      <c r="R89" s="8">
        <v>2.5067363E7</v>
      </c>
      <c r="S89" s="8">
        <v>5.84284637E8</v>
      </c>
      <c r="T89" s="8">
        <v>1.21993242E8</v>
      </c>
      <c r="U89" s="8">
        <v>1.22825631E8</v>
      </c>
      <c r="V89" s="8">
        <f t="shared" si="3"/>
        <v>854170873</v>
      </c>
      <c r="W89" s="8">
        <v>1.123910849E9</v>
      </c>
      <c r="X89" s="8">
        <v>2.16683873E8</v>
      </c>
      <c r="Y89" s="8">
        <v>7178734.0</v>
      </c>
      <c r="Z89" s="8">
        <f t="shared" si="4"/>
        <v>1347773456</v>
      </c>
      <c r="AA89" s="7">
        <v>360.0</v>
      </c>
      <c r="AB89" s="8">
        <v>2.1085971E7</v>
      </c>
      <c r="AC89" s="8">
        <v>5.25479681E8</v>
      </c>
      <c r="AD89" s="8">
        <v>1.10022835E8</v>
      </c>
      <c r="AE89" s="8">
        <v>1.1985062E8</v>
      </c>
      <c r="AF89" s="10">
        <f t="shared" si="5"/>
        <v>776439107</v>
      </c>
      <c r="AG89" s="8">
        <v>6.2123E8</v>
      </c>
      <c r="AH89" s="8">
        <v>2.15678345E8</v>
      </c>
      <c r="AI89" s="8">
        <v>7167895.0</v>
      </c>
      <c r="AJ89" s="8">
        <f t="shared" si="6"/>
        <v>844076240</v>
      </c>
    </row>
    <row r="90" ht="13.5" customHeight="1">
      <c r="A90" s="11">
        <v>89.0</v>
      </c>
      <c r="B90" s="15" t="s">
        <v>183</v>
      </c>
      <c r="C90" s="12" t="s">
        <v>184</v>
      </c>
      <c r="D90" s="6" t="s">
        <v>80</v>
      </c>
      <c r="E90" s="12">
        <v>2025.0</v>
      </c>
      <c r="F90" s="12">
        <v>10.67</v>
      </c>
      <c r="G90" s="7">
        <v>2040.0</v>
      </c>
      <c r="H90" s="8">
        <v>1286495.0</v>
      </c>
      <c r="I90" s="8">
        <v>2.029397E7</v>
      </c>
      <c r="J90" s="8">
        <v>1.7685205E7</v>
      </c>
      <c r="K90" s="8">
        <v>1.16601538E8</v>
      </c>
      <c r="L90" s="8">
        <f t="shared" si="1"/>
        <v>155867208</v>
      </c>
      <c r="M90" s="8">
        <v>1.034303488E9</v>
      </c>
      <c r="N90" s="8">
        <v>9.96683861E8</v>
      </c>
      <c r="O90" s="8">
        <v>4316800.0</v>
      </c>
      <c r="P90" s="8">
        <f t="shared" si="2"/>
        <v>2035304149</v>
      </c>
      <c r="Q90" s="7">
        <v>1470.0</v>
      </c>
      <c r="R90" s="8">
        <v>5263591.0</v>
      </c>
      <c r="S90" s="8">
        <v>1.7832729E7</v>
      </c>
      <c r="T90" s="8">
        <v>1.1464001E7</v>
      </c>
      <c r="U90" s="8">
        <v>5.8665685E7</v>
      </c>
      <c r="V90" s="8">
        <f t="shared" si="3"/>
        <v>93226006</v>
      </c>
      <c r="W90" s="8">
        <v>8.34366055E8</v>
      </c>
      <c r="X90" s="8">
        <v>9.72888314E8</v>
      </c>
      <c r="Y90" s="8">
        <v>1679000.0</v>
      </c>
      <c r="Z90" s="8">
        <f t="shared" si="4"/>
        <v>1808933369</v>
      </c>
      <c r="AA90" s="7">
        <v>1121.0</v>
      </c>
      <c r="AB90" s="8">
        <v>4470065.0</v>
      </c>
      <c r="AC90" s="8">
        <v>1.2141234E7</v>
      </c>
      <c r="AD90" s="8">
        <v>9553334.0</v>
      </c>
      <c r="AE90" s="8">
        <v>6.9542579E7</v>
      </c>
      <c r="AF90" s="10">
        <f t="shared" si="5"/>
        <v>95707212</v>
      </c>
      <c r="AG90" s="8">
        <v>6.64079701E8</v>
      </c>
      <c r="AH90" s="8">
        <v>6.04359659E8</v>
      </c>
      <c r="AI90" s="8">
        <v>384250.0</v>
      </c>
      <c r="AJ90" s="8">
        <f t="shared" si="6"/>
        <v>1268823610</v>
      </c>
    </row>
    <row r="91" ht="13.5" customHeight="1">
      <c r="A91" s="11">
        <v>90.0</v>
      </c>
      <c r="B91" s="15" t="s">
        <v>185</v>
      </c>
      <c r="C91" s="12" t="s">
        <v>110</v>
      </c>
      <c r="D91" s="6" t="s">
        <v>2</v>
      </c>
      <c r="E91" s="12">
        <v>2025.0</v>
      </c>
      <c r="F91" s="12">
        <v>17.88</v>
      </c>
      <c r="G91" s="7">
        <v>715.0</v>
      </c>
      <c r="H91" s="8">
        <v>4.6040965E7</v>
      </c>
      <c r="I91" s="8">
        <v>2.6581925E7</v>
      </c>
      <c r="J91" s="8">
        <v>2.5067214E7</v>
      </c>
      <c r="K91" s="8">
        <v>2.55655632E8</v>
      </c>
      <c r="L91" s="8">
        <f t="shared" si="1"/>
        <v>353345736</v>
      </c>
      <c r="M91" s="8">
        <v>8.45143303E8</v>
      </c>
      <c r="N91" s="8">
        <v>5.8703173E8</v>
      </c>
      <c r="O91" s="8">
        <v>4636488.0</v>
      </c>
      <c r="P91" s="8">
        <f t="shared" si="2"/>
        <v>1436811521</v>
      </c>
      <c r="Q91" s="7">
        <v>758.0</v>
      </c>
      <c r="R91" s="8">
        <v>1.4908434E7</v>
      </c>
      <c r="S91" s="8">
        <v>7.4423912E7</v>
      </c>
      <c r="T91" s="8">
        <v>4.1822948E7</v>
      </c>
      <c r="U91" s="8">
        <v>2.41138969E8</v>
      </c>
      <c r="V91" s="8">
        <f t="shared" si="3"/>
        <v>372294263</v>
      </c>
      <c r="W91" s="8">
        <v>7.52492112E8</v>
      </c>
      <c r="X91" s="8">
        <v>5.85097664E8</v>
      </c>
      <c r="Y91" s="8">
        <v>4129022.0</v>
      </c>
      <c r="Z91" s="8">
        <f t="shared" si="4"/>
        <v>1341718798</v>
      </c>
      <c r="AA91" s="7">
        <v>676.0</v>
      </c>
      <c r="AB91" s="8">
        <v>1.1423453E7</v>
      </c>
      <c r="AC91" s="8">
        <v>9.5252546E7</v>
      </c>
      <c r="AD91" s="8">
        <v>4.8385787E7</v>
      </c>
      <c r="AE91" s="8">
        <v>2.13597163E8</v>
      </c>
      <c r="AF91" s="10">
        <f t="shared" si="5"/>
        <v>368658949</v>
      </c>
      <c r="AG91" s="8">
        <v>6.86383742E8</v>
      </c>
      <c r="AH91" s="8">
        <v>5.85684297E8</v>
      </c>
      <c r="AI91" s="8">
        <v>2935386.0</v>
      </c>
      <c r="AJ91" s="8">
        <f t="shared" si="6"/>
        <v>1275003425</v>
      </c>
    </row>
    <row r="92" ht="13.5" customHeight="1">
      <c r="A92" s="11">
        <v>91.0</v>
      </c>
      <c r="B92" s="15" t="s">
        <v>186</v>
      </c>
      <c r="C92" s="12" t="s">
        <v>77</v>
      </c>
      <c r="D92" s="6" t="s">
        <v>80</v>
      </c>
      <c r="E92" s="12">
        <v>2025.0</v>
      </c>
      <c r="F92" s="12">
        <v>8.87</v>
      </c>
      <c r="G92" s="7">
        <v>1080.0</v>
      </c>
      <c r="H92" s="8">
        <v>7414563.0</v>
      </c>
      <c r="I92" s="8">
        <v>1.11869584E8</v>
      </c>
      <c r="J92" s="8">
        <v>4.1056677E7</v>
      </c>
      <c r="K92" s="8">
        <v>3.4307864E7</v>
      </c>
      <c r="L92" s="8">
        <f t="shared" si="1"/>
        <v>194648688</v>
      </c>
      <c r="M92" s="8">
        <v>5.53179673E8</v>
      </c>
      <c r="N92" s="8">
        <v>2.46163576E8</v>
      </c>
      <c r="O92" s="8">
        <v>1.0685254E7</v>
      </c>
      <c r="P92" s="8">
        <f t="shared" si="2"/>
        <v>810028503</v>
      </c>
      <c r="Q92" s="7">
        <v>720.0</v>
      </c>
      <c r="R92" s="8">
        <v>3791695.0</v>
      </c>
      <c r="S92" s="8">
        <v>7.2863816E7</v>
      </c>
      <c r="T92" s="8">
        <v>2.9486578E7</v>
      </c>
      <c r="U92" s="8">
        <v>2.0264099E7</v>
      </c>
      <c r="V92" s="8">
        <f t="shared" si="3"/>
        <v>126406188</v>
      </c>
      <c r="W92" s="8">
        <v>3.55645492E8</v>
      </c>
      <c r="X92" s="8">
        <v>1.88450337E8</v>
      </c>
      <c r="Y92" s="8">
        <v>641200.0</v>
      </c>
      <c r="Z92" s="8">
        <f t="shared" si="4"/>
        <v>544737029</v>
      </c>
      <c r="AA92" s="7">
        <v>719.0</v>
      </c>
      <c r="AB92" s="8">
        <v>3298607.0</v>
      </c>
      <c r="AC92" s="8">
        <v>4.8187931E7</v>
      </c>
      <c r="AD92" s="8">
        <v>2.5201102E7</v>
      </c>
      <c r="AE92" s="8">
        <v>1.7160564E7</v>
      </c>
      <c r="AF92" s="10">
        <f t="shared" si="5"/>
        <v>93848204</v>
      </c>
      <c r="AG92" s="8">
        <v>3.06523859E8</v>
      </c>
      <c r="AH92" s="8">
        <v>1.25252826E8</v>
      </c>
      <c r="AI92" s="8">
        <v>249000.0</v>
      </c>
      <c r="AJ92" s="8">
        <f t="shared" si="6"/>
        <v>432025685</v>
      </c>
    </row>
    <row r="93" ht="13.5" customHeight="1">
      <c r="A93" s="11">
        <v>92.0</v>
      </c>
      <c r="B93" s="15" t="s">
        <v>187</v>
      </c>
      <c r="C93" s="12" t="s">
        <v>110</v>
      </c>
      <c r="D93" s="6" t="s">
        <v>73</v>
      </c>
      <c r="E93" s="12">
        <v>2025.0</v>
      </c>
      <c r="F93" s="12">
        <v>20.97</v>
      </c>
      <c r="G93" s="16">
        <v>220.0</v>
      </c>
      <c r="H93" s="8">
        <v>2.5769182E7</v>
      </c>
      <c r="I93" s="8">
        <v>1.37924844E8</v>
      </c>
      <c r="J93" s="8">
        <v>6.0488608E7</v>
      </c>
      <c r="K93" s="8">
        <v>2.6207574E7</v>
      </c>
      <c r="L93" s="8">
        <f t="shared" si="1"/>
        <v>250390208</v>
      </c>
      <c r="M93" s="8">
        <v>2.67284114E8</v>
      </c>
      <c r="N93" s="8">
        <v>2.11124441E8</v>
      </c>
      <c r="O93" s="8">
        <v>1.3202681E7</v>
      </c>
      <c r="P93" s="8">
        <f t="shared" si="2"/>
        <v>491611236</v>
      </c>
      <c r="Q93" s="16">
        <v>297.0</v>
      </c>
      <c r="R93" s="8">
        <v>2.957108E7</v>
      </c>
      <c r="S93" s="8">
        <v>1.24591416E8</v>
      </c>
      <c r="T93" s="8">
        <v>7.50465E7</v>
      </c>
      <c r="U93" s="8">
        <v>7.452042E7</v>
      </c>
      <c r="V93" s="8">
        <f t="shared" si="3"/>
        <v>303729416</v>
      </c>
      <c r="W93" s="8">
        <v>2.29430777E8</v>
      </c>
      <c r="X93" s="8">
        <v>1.27814383E8</v>
      </c>
      <c r="Y93" s="8">
        <v>4374324.0</v>
      </c>
      <c r="Z93" s="8">
        <f t="shared" si="4"/>
        <v>361619484</v>
      </c>
      <c r="AA93" s="16">
        <v>228.0</v>
      </c>
      <c r="AB93" s="8">
        <v>2.3851984E7</v>
      </c>
      <c r="AC93" s="8">
        <v>7.5027262E7</v>
      </c>
      <c r="AD93" s="8">
        <v>5.9717261E7</v>
      </c>
      <c r="AE93" s="8">
        <v>6.5E7</v>
      </c>
      <c r="AF93" s="10">
        <f t="shared" si="5"/>
        <v>223596507</v>
      </c>
      <c r="AG93" s="8">
        <v>1.98920151E8</v>
      </c>
      <c r="AH93" s="8">
        <v>1.26312227E8</v>
      </c>
      <c r="AI93" s="8">
        <v>3.718E7</v>
      </c>
      <c r="AJ93" s="8">
        <f t="shared" si="6"/>
        <v>362412378</v>
      </c>
    </row>
    <row r="94" ht="13.5" customHeight="1">
      <c r="A94" s="11">
        <v>93.0</v>
      </c>
      <c r="B94" s="15" t="s">
        <v>188</v>
      </c>
      <c r="C94" s="12" t="s">
        <v>189</v>
      </c>
      <c r="D94" s="6" t="s">
        <v>2</v>
      </c>
      <c r="E94" s="12">
        <v>2025.0</v>
      </c>
      <c r="F94" s="12">
        <v>8.36</v>
      </c>
      <c r="G94" s="7">
        <v>758.0</v>
      </c>
      <c r="H94" s="8">
        <v>1456638.0</v>
      </c>
      <c r="I94" s="8">
        <v>2.2541298E7</v>
      </c>
      <c r="J94" s="8">
        <v>1446430.0</v>
      </c>
      <c r="K94" s="8">
        <v>1.9114812E7</v>
      </c>
      <c r="L94" s="8">
        <f t="shared" si="1"/>
        <v>44559178</v>
      </c>
      <c r="M94" s="8">
        <v>5.50208867E8</v>
      </c>
      <c r="N94" s="8">
        <v>4516071.0</v>
      </c>
      <c r="O94" s="8">
        <v>948606.0</v>
      </c>
      <c r="P94" s="8">
        <f t="shared" si="2"/>
        <v>555673544</v>
      </c>
      <c r="Q94" s="7">
        <v>713.0</v>
      </c>
      <c r="R94" s="8">
        <v>618960.0</v>
      </c>
      <c r="S94" s="8">
        <v>1.6655187E7</v>
      </c>
      <c r="T94" s="8">
        <v>337933.0</v>
      </c>
      <c r="U94" s="8">
        <v>1.5087022E7</v>
      </c>
      <c r="V94" s="8">
        <f t="shared" si="3"/>
        <v>32699102</v>
      </c>
      <c r="W94" s="8">
        <v>4.36474148E8</v>
      </c>
      <c r="X94" s="8">
        <v>7390329.0</v>
      </c>
      <c r="Y94" s="8">
        <v>29556.0</v>
      </c>
      <c r="Z94" s="8">
        <f t="shared" si="4"/>
        <v>443894033</v>
      </c>
      <c r="AA94" s="7">
        <v>700.0</v>
      </c>
      <c r="AB94" s="8">
        <v>443257.0</v>
      </c>
      <c r="AC94" s="8">
        <v>1.0515565E7</v>
      </c>
      <c r="AD94" s="8">
        <v>25000.0</v>
      </c>
      <c r="AE94" s="8">
        <v>725656.0</v>
      </c>
      <c r="AF94" s="10">
        <f t="shared" si="5"/>
        <v>11709478</v>
      </c>
      <c r="AG94" s="8">
        <v>4.09207508E8</v>
      </c>
      <c r="AH94" s="8">
        <v>2.2264274E7</v>
      </c>
      <c r="AI94" s="8">
        <v>0.0</v>
      </c>
      <c r="AJ94" s="8">
        <f t="shared" si="6"/>
        <v>431471782</v>
      </c>
    </row>
    <row r="95" ht="13.5" customHeight="1">
      <c r="A95" s="11">
        <v>94.0</v>
      </c>
      <c r="B95" s="15" t="s">
        <v>190</v>
      </c>
      <c r="C95" s="12" t="s">
        <v>44</v>
      </c>
      <c r="D95" s="6" t="s">
        <v>2</v>
      </c>
      <c r="E95" s="12">
        <v>2025.0</v>
      </c>
      <c r="F95" s="12">
        <v>14.14</v>
      </c>
      <c r="G95" s="7">
        <v>1307.0</v>
      </c>
      <c r="H95" s="8">
        <v>3.0060405E7</v>
      </c>
      <c r="I95" s="8">
        <v>1.88690918E8</v>
      </c>
      <c r="J95" s="8">
        <v>1.22399005E8</v>
      </c>
      <c r="K95" s="8">
        <v>8.9755706E7</v>
      </c>
      <c r="L95" s="8">
        <f t="shared" si="1"/>
        <v>430906034</v>
      </c>
      <c r="M95" s="8">
        <v>1.977224435E9</v>
      </c>
      <c r="N95" s="8">
        <v>5.22695518E8</v>
      </c>
      <c r="O95" s="8">
        <v>815000.0</v>
      </c>
      <c r="P95" s="8">
        <f t="shared" si="2"/>
        <v>2500734953</v>
      </c>
      <c r="Q95" s="7">
        <v>1244.0</v>
      </c>
      <c r="R95" s="8">
        <v>1.0081622E7</v>
      </c>
      <c r="S95" s="8">
        <v>3.559952E7</v>
      </c>
      <c r="T95" s="8">
        <v>1.5326353E7</v>
      </c>
      <c r="U95" s="8">
        <v>1.577461E7</v>
      </c>
      <c r="V95" s="8">
        <f t="shared" si="3"/>
        <v>76782105</v>
      </c>
      <c r="W95" s="8">
        <v>1.51328784E9</v>
      </c>
      <c r="X95" s="8">
        <v>5.26400941E8</v>
      </c>
      <c r="Y95" s="8">
        <v>3965000.0</v>
      </c>
      <c r="Z95" s="8">
        <f t="shared" si="4"/>
        <v>2043653781</v>
      </c>
      <c r="AA95" s="7">
        <v>1244.0</v>
      </c>
      <c r="AB95" s="8">
        <v>1.8711452E7</v>
      </c>
      <c r="AC95" s="8">
        <v>2.3579398E7</v>
      </c>
      <c r="AD95" s="8">
        <v>1.9723145E7</v>
      </c>
      <c r="AE95" s="8">
        <v>1.3891146E7</v>
      </c>
      <c r="AF95" s="10">
        <f t="shared" si="5"/>
        <v>75905141</v>
      </c>
      <c r="AG95" s="8">
        <v>1.460197617E9</v>
      </c>
      <c r="AH95" s="8">
        <v>3.89065295E8</v>
      </c>
      <c r="AI95" s="8">
        <v>1250000.0</v>
      </c>
      <c r="AJ95" s="8">
        <f t="shared" si="6"/>
        <v>1850512912</v>
      </c>
    </row>
    <row r="96" ht="13.5" customHeight="1">
      <c r="A96" s="11">
        <v>95.0</v>
      </c>
      <c r="B96" s="15" t="s">
        <v>191</v>
      </c>
      <c r="C96" s="12" t="s">
        <v>69</v>
      </c>
      <c r="D96" s="6" t="s">
        <v>80</v>
      </c>
      <c r="E96" s="12">
        <v>2025.0</v>
      </c>
      <c r="F96" s="12">
        <v>13.65</v>
      </c>
      <c r="G96" s="7">
        <v>1037.0</v>
      </c>
      <c r="H96" s="8">
        <v>5745909.0</v>
      </c>
      <c r="I96" s="8">
        <v>5.9769561E7</v>
      </c>
      <c r="J96" s="8">
        <v>2.00942266E8</v>
      </c>
      <c r="K96" s="8">
        <v>3.81724752E8</v>
      </c>
      <c r="L96" s="8">
        <f t="shared" si="1"/>
        <v>648182488</v>
      </c>
      <c r="M96" s="8">
        <v>5.7006072E8</v>
      </c>
      <c r="N96" s="8">
        <v>4.88347758E8</v>
      </c>
      <c r="O96" s="8">
        <v>1.33058559E8</v>
      </c>
      <c r="P96" s="8">
        <f t="shared" si="2"/>
        <v>1191467037</v>
      </c>
      <c r="Q96" s="7">
        <v>817.0</v>
      </c>
      <c r="R96" s="8">
        <v>5521895.0</v>
      </c>
      <c r="S96" s="8">
        <v>6.5759236E7</v>
      </c>
      <c r="T96" s="8">
        <v>1.9875352E7</v>
      </c>
      <c r="U96" s="8">
        <v>3.63142488E8</v>
      </c>
      <c r="V96" s="8">
        <f t="shared" si="3"/>
        <v>454298971</v>
      </c>
      <c r="W96" s="8">
        <v>5.34337898E8</v>
      </c>
      <c r="X96" s="8">
        <v>4.73249824E8</v>
      </c>
      <c r="Y96" s="8">
        <v>1.54964768E8</v>
      </c>
      <c r="Z96" s="8">
        <f t="shared" si="4"/>
        <v>1162552490</v>
      </c>
      <c r="AA96" s="7">
        <v>950.0</v>
      </c>
      <c r="AB96" s="8">
        <v>4851866.0</v>
      </c>
      <c r="AC96" s="8">
        <v>4.9575688E7</v>
      </c>
      <c r="AD96" s="8">
        <v>1.26666352E8</v>
      </c>
      <c r="AE96" s="8">
        <v>2.46314251E8</v>
      </c>
      <c r="AF96" s="10">
        <f t="shared" si="5"/>
        <v>427408157</v>
      </c>
      <c r="AG96" s="8">
        <v>5.28433791E8</v>
      </c>
      <c r="AH96" s="8">
        <v>4.53398244E8</v>
      </c>
      <c r="AI96" s="8">
        <v>1.53649264E8</v>
      </c>
      <c r="AJ96" s="8">
        <f t="shared" si="6"/>
        <v>1135481299</v>
      </c>
    </row>
    <row r="97" ht="13.5" customHeight="1">
      <c r="A97" s="11">
        <v>96.0</v>
      </c>
      <c r="B97" s="15" t="s">
        <v>192</v>
      </c>
      <c r="C97" s="12" t="s">
        <v>193</v>
      </c>
      <c r="D97" s="6" t="s">
        <v>73</v>
      </c>
      <c r="E97" s="12">
        <v>2025.0</v>
      </c>
      <c r="F97" s="12">
        <v>15.19</v>
      </c>
      <c r="G97" s="7">
        <v>74.0</v>
      </c>
      <c r="H97" s="8">
        <v>1.6526879E7</v>
      </c>
      <c r="I97" s="8">
        <v>3.4256063E7</v>
      </c>
      <c r="J97" s="8">
        <v>1.1563195E7</v>
      </c>
      <c r="K97" s="8">
        <v>2.0391122E7</v>
      </c>
      <c r="L97" s="8">
        <f t="shared" si="1"/>
        <v>82737259</v>
      </c>
      <c r="M97" s="8">
        <v>2.70319111E8</v>
      </c>
      <c r="N97" s="8">
        <v>1.61627647E8</v>
      </c>
      <c r="O97" s="8">
        <v>1.9153534E7</v>
      </c>
      <c r="P97" s="8">
        <f t="shared" si="2"/>
        <v>451100292</v>
      </c>
      <c r="Q97" s="7">
        <v>75.0</v>
      </c>
      <c r="R97" s="8">
        <v>1.4743424E7</v>
      </c>
      <c r="S97" s="8">
        <v>1.3180969E7</v>
      </c>
      <c r="T97" s="8">
        <v>3925502.0</v>
      </c>
      <c r="U97" s="8">
        <v>8561180.0</v>
      </c>
      <c r="V97" s="8">
        <f t="shared" si="3"/>
        <v>40411075</v>
      </c>
      <c r="W97" s="8">
        <v>2.11651063E8</v>
      </c>
      <c r="X97" s="8">
        <v>8.6560328E7</v>
      </c>
      <c r="Y97" s="8">
        <v>1.1127464E7</v>
      </c>
      <c r="Z97" s="8">
        <f t="shared" si="4"/>
        <v>309338855</v>
      </c>
      <c r="AA97" s="7">
        <v>65.0</v>
      </c>
      <c r="AB97" s="8">
        <v>2.1823564E7</v>
      </c>
      <c r="AC97" s="8">
        <v>3175769.0</v>
      </c>
      <c r="AD97" s="8">
        <v>1287012.0</v>
      </c>
      <c r="AE97" s="8">
        <v>1328077.0</v>
      </c>
      <c r="AF97" s="10">
        <f t="shared" si="5"/>
        <v>27614422</v>
      </c>
      <c r="AG97" s="8">
        <v>1.70376602E8</v>
      </c>
      <c r="AH97" s="8">
        <v>8.9396343E7</v>
      </c>
      <c r="AI97" s="8">
        <v>2398638.0</v>
      </c>
      <c r="AJ97" s="8">
        <f t="shared" si="6"/>
        <v>262171583</v>
      </c>
    </row>
    <row r="98" ht="13.5" customHeight="1">
      <c r="A98" s="11">
        <v>97.0</v>
      </c>
      <c r="B98" s="15" t="s">
        <v>194</v>
      </c>
      <c r="C98" s="12" t="s">
        <v>195</v>
      </c>
      <c r="D98" s="6" t="s">
        <v>73</v>
      </c>
      <c r="E98" s="12">
        <v>2025.0</v>
      </c>
      <c r="F98" s="12">
        <v>11.67</v>
      </c>
      <c r="G98" s="7">
        <v>825.0</v>
      </c>
      <c r="H98" s="8">
        <v>5.0905664E7</v>
      </c>
      <c r="I98" s="8">
        <v>8.0254466E7</v>
      </c>
      <c r="J98" s="8">
        <v>8776791.0</v>
      </c>
      <c r="K98" s="8">
        <v>8490050.0</v>
      </c>
      <c r="L98" s="8">
        <f t="shared" si="1"/>
        <v>148426971</v>
      </c>
      <c r="M98" s="8">
        <v>5.81526737E8</v>
      </c>
      <c r="N98" s="8">
        <v>4.31413302E8</v>
      </c>
      <c r="O98" s="8">
        <v>1886467.0</v>
      </c>
      <c r="P98" s="8">
        <f t="shared" si="2"/>
        <v>1014826506</v>
      </c>
      <c r="Q98" s="7">
        <v>699.0</v>
      </c>
      <c r="R98" s="8">
        <v>1.2122522E7</v>
      </c>
      <c r="S98" s="8">
        <v>1.02412653E8</v>
      </c>
      <c r="T98" s="8">
        <v>145265.0</v>
      </c>
      <c r="U98" s="8">
        <v>6480222.0</v>
      </c>
      <c r="V98" s="8">
        <f t="shared" si="3"/>
        <v>121160662</v>
      </c>
      <c r="W98" s="8">
        <v>5.2639534E8</v>
      </c>
      <c r="X98" s="8">
        <v>4.00100735E8</v>
      </c>
      <c r="Y98" s="8">
        <v>1367941.0</v>
      </c>
      <c r="Z98" s="8">
        <f t="shared" si="4"/>
        <v>927864016</v>
      </c>
      <c r="AA98" s="7">
        <v>571.0</v>
      </c>
      <c r="AB98" s="8">
        <v>2.1858537E7</v>
      </c>
      <c r="AC98" s="8">
        <v>6.9738938E7</v>
      </c>
      <c r="AD98" s="8">
        <v>63728.0</v>
      </c>
      <c r="AE98" s="8">
        <v>1.0760276E7</v>
      </c>
      <c r="AF98" s="10">
        <f t="shared" si="5"/>
        <v>102421479</v>
      </c>
      <c r="AG98" s="8">
        <v>5.22383914E8</v>
      </c>
      <c r="AH98" s="8">
        <v>4.06683632E8</v>
      </c>
      <c r="AI98" s="8">
        <v>1267886.0</v>
      </c>
      <c r="AJ98" s="8">
        <f t="shared" si="6"/>
        <v>930335432</v>
      </c>
    </row>
    <row r="99" ht="13.5" customHeight="1">
      <c r="A99" s="11">
        <v>98.0</v>
      </c>
      <c r="B99" s="15" t="s">
        <v>196</v>
      </c>
      <c r="C99" s="12" t="s">
        <v>197</v>
      </c>
      <c r="D99" s="6" t="s">
        <v>80</v>
      </c>
      <c r="E99" s="12">
        <v>2025.0</v>
      </c>
      <c r="F99" s="12">
        <v>12.47</v>
      </c>
      <c r="G99" s="7">
        <v>1153.0</v>
      </c>
      <c r="H99" s="8">
        <v>2.1369581E7</v>
      </c>
      <c r="I99" s="8">
        <v>1.37073097E8</v>
      </c>
      <c r="J99" s="8">
        <v>0.0</v>
      </c>
      <c r="K99" s="8">
        <v>1.5563003E8</v>
      </c>
      <c r="L99" s="8">
        <f t="shared" si="1"/>
        <v>314072708</v>
      </c>
      <c r="M99" s="8">
        <v>7.88778861E8</v>
      </c>
      <c r="N99" s="8">
        <v>3.43137628E8</v>
      </c>
      <c r="O99" s="8">
        <v>9819335.0</v>
      </c>
      <c r="P99" s="8">
        <f t="shared" si="2"/>
        <v>1141735824</v>
      </c>
      <c r="Q99" s="7">
        <v>869.0</v>
      </c>
      <c r="R99" s="8">
        <v>2.1474142E7</v>
      </c>
      <c r="S99" s="8">
        <v>1.66274737E8</v>
      </c>
      <c r="T99" s="8">
        <v>0.0</v>
      </c>
      <c r="U99" s="8">
        <v>1.80479538E8</v>
      </c>
      <c r="V99" s="8">
        <f t="shared" si="3"/>
        <v>368228417</v>
      </c>
      <c r="W99" s="8">
        <v>7.08929137E8</v>
      </c>
      <c r="X99" s="8">
        <v>3.56698993E8</v>
      </c>
      <c r="Y99" s="8">
        <v>6664516.0</v>
      </c>
      <c r="Z99" s="8">
        <f t="shared" si="4"/>
        <v>1072292646</v>
      </c>
      <c r="AA99" s="7">
        <v>810.0</v>
      </c>
      <c r="AB99" s="8">
        <v>1.3384482E7</v>
      </c>
      <c r="AC99" s="8">
        <v>8.6995731E7</v>
      </c>
      <c r="AD99" s="8">
        <v>0.0</v>
      </c>
      <c r="AE99" s="8">
        <v>7.1572442E7</v>
      </c>
      <c r="AF99" s="10">
        <f t="shared" si="5"/>
        <v>171952655</v>
      </c>
      <c r="AG99" s="8">
        <v>5.55219567E8</v>
      </c>
      <c r="AH99" s="8">
        <v>2.30540396E8</v>
      </c>
      <c r="AI99" s="8">
        <v>6532710.0</v>
      </c>
      <c r="AJ99" s="8">
        <f t="shared" si="6"/>
        <v>792292673</v>
      </c>
    </row>
    <row r="100" ht="13.5" customHeight="1">
      <c r="A100" s="11">
        <v>99.0</v>
      </c>
      <c r="B100" s="15" t="s">
        <v>198</v>
      </c>
      <c r="C100" s="12" t="s">
        <v>199</v>
      </c>
      <c r="D100" s="6" t="s">
        <v>38</v>
      </c>
      <c r="E100" s="12">
        <v>2025.0</v>
      </c>
      <c r="F100" s="12">
        <v>14.3</v>
      </c>
      <c r="G100" s="7">
        <v>232.0</v>
      </c>
      <c r="H100" s="8">
        <v>1.1629684E7</v>
      </c>
      <c r="I100" s="8">
        <v>9.1303913E7</v>
      </c>
      <c r="J100" s="8">
        <v>724231.0</v>
      </c>
      <c r="K100" s="8">
        <v>2.010675E7</v>
      </c>
      <c r="L100" s="8">
        <f t="shared" si="1"/>
        <v>123764578</v>
      </c>
      <c r="M100" s="8">
        <v>2.01817285E8</v>
      </c>
      <c r="N100" s="8">
        <v>1.09306681E8</v>
      </c>
      <c r="O100" s="8">
        <v>4724245.0</v>
      </c>
      <c r="P100" s="8">
        <f t="shared" si="2"/>
        <v>315848211</v>
      </c>
      <c r="Q100" s="7">
        <v>243.0</v>
      </c>
      <c r="R100" s="8">
        <v>2651004.0</v>
      </c>
      <c r="S100" s="8">
        <v>1.38214986E8</v>
      </c>
      <c r="T100" s="8">
        <v>248738.0</v>
      </c>
      <c r="U100" s="8">
        <v>6.3043503E7</v>
      </c>
      <c r="V100" s="8">
        <f t="shared" si="3"/>
        <v>204158231</v>
      </c>
      <c r="W100" s="8">
        <v>1.88350956E8</v>
      </c>
      <c r="X100" s="8">
        <v>8.9330583E7</v>
      </c>
      <c r="Y100" s="8">
        <v>5715969.0</v>
      </c>
      <c r="Z100" s="8">
        <f t="shared" si="4"/>
        <v>283397508</v>
      </c>
      <c r="AA100" s="7">
        <v>253.0</v>
      </c>
      <c r="AB100" s="8">
        <v>1664511.0</v>
      </c>
      <c r="AC100" s="8">
        <v>1.12499794E8</v>
      </c>
      <c r="AD100" s="8">
        <v>3736238.0</v>
      </c>
      <c r="AE100" s="8">
        <v>5.3045079E7</v>
      </c>
      <c r="AF100" s="10">
        <f t="shared" si="5"/>
        <v>170945622</v>
      </c>
      <c r="AG100" s="8">
        <v>1.33034833E8</v>
      </c>
      <c r="AH100" s="8">
        <v>6.9557543E7</v>
      </c>
      <c r="AI100" s="8">
        <v>1187275.0</v>
      </c>
      <c r="AJ100" s="8">
        <f t="shared" si="6"/>
        <v>203779651</v>
      </c>
    </row>
    <row r="101" ht="13.5" customHeight="1">
      <c r="A101" s="11">
        <v>100.0</v>
      </c>
      <c r="B101" s="15" t="s">
        <v>200</v>
      </c>
      <c r="C101" s="12" t="s">
        <v>71</v>
      </c>
      <c r="D101" s="6" t="s">
        <v>2</v>
      </c>
      <c r="E101" s="12">
        <v>2025.0</v>
      </c>
      <c r="F101" s="12">
        <v>12.79</v>
      </c>
      <c r="G101" s="7">
        <v>1045.0</v>
      </c>
      <c r="H101" s="8">
        <v>9508541.0</v>
      </c>
      <c r="I101" s="8">
        <v>7.9597448E7</v>
      </c>
      <c r="J101" s="8">
        <v>2.80125E7</v>
      </c>
      <c r="K101" s="8">
        <v>1.87339964E8</v>
      </c>
      <c r="L101" s="8">
        <f t="shared" si="1"/>
        <v>304458453</v>
      </c>
      <c r="M101" s="8">
        <v>4.5996492E8</v>
      </c>
      <c r="N101" s="8">
        <v>7.9228926E8</v>
      </c>
      <c r="O101" s="8">
        <v>6433091.0</v>
      </c>
      <c r="P101" s="8">
        <f t="shared" si="2"/>
        <v>1258687271</v>
      </c>
      <c r="Q101" s="7">
        <v>1083.0</v>
      </c>
      <c r="R101" s="8">
        <v>9055754.0</v>
      </c>
      <c r="S101" s="8">
        <v>7.1069274E7</v>
      </c>
      <c r="T101" s="8">
        <v>2.7543764E7</v>
      </c>
      <c r="U101" s="8">
        <v>1.67267825E8</v>
      </c>
      <c r="V101" s="8">
        <f t="shared" si="3"/>
        <v>274936617</v>
      </c>
      <c r="W101" s="8">
        <v>3.91390872E8</v>
      </c>
      <c r="X101" s="8">
        <v>6.84382486E8</v>
      </c>
      <c r="Y101" s="8">
        <v>6012235.0</v>
      </c>
      <c r="Z101" s="8">
        <f t="shared" si="4"/>
        <v>1081785593</v>
      </c>
      <c r="AA101" s="17">
        <v>1041.0</v>
      </c>
      <c r="AB101" s="8">
        <v>6930875.0</v>
      </c>
      <c r="AC101" s="8">
        <v>6.8825321E7</v>
      </c>
      <c r="AD101" s="8">
        <v>2.3057589E7</v>
      </c>
      <c r="AE101" s="8">
        <v>1.55654898E8</v>
      </c>
      <c r="AF101" s="10">
        <f t="shared" si="5"/>
        <v>254468683</v>
      </c>
      <c r="AG101" s="8">
        <v>3.39044572E8</v>
      </c>
      <c r="AH101" s="8">
        <v>6.67649789E8</v>
      </c>
      <c r="AI101" s="8">
        <v>1187275.0</v>
      </c>
      <c r="AJ101" s="8">
        <f t="shared" si="6"/>
        <v>1007881636</v>
      </c>
    </row>
    <row r="102" ht="13.5" customHeight="1">
      <c r="A102" s="18"/>
      <c r="B102" s="19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20"/>
      <c r="AB102" s="18"/>
      <c r="AC102" s="18"/>
      <c r="AD102" s="18"/>
      <c r="AE102" s="18"/>
      <c r="AG102" s="18"/>
      <c r="AH102" s="18"/>
      <c r="AI102" s="18"/>
      <c r="AJ102" s="18"/>
    </row>
    <row r="103" ht="13.5" customHeight="1">
      <c r="A103" s="18"/>
      <c r="B103" s="19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20"/>
      <c r="AB103" s="18"/>
      <c r="AC103" s="18"/>
      <c r="AD103" s="18"/>
      <c r="AE103" s="18"/>
      <c r="AG103" s="18"/>
      <c r="AH103" s="18"/>
      <c r="AI103" s="18"/>
      <c r="AJ103" s="18"/>
    </row>
    <row r="104" ht="13.5" customHeight="1">
      <c r="A104" s="18"/>
      <c r="B104" s="19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20"/>
      <c r="AB104" s="18"/>
      <c r="AC104" s="18"/>
      <c r="AD104" s="18"/>
      <c r="AE104" s="18"/>
      <c r="AG104" s="18"/>
      <c r="AH104" s="18"/>
      <c r="AI104" s="18"/>
      <c r="AJ104" s="18"/>
    </row>
    <row r="105" ht="13.5" customHeight="1">
      <c r="A105" s="18"/>
      <c r="B105" s="19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20"/>
      <c r="AB105" s="18"/>
      <c r="AC105" s="18"/>
      <c r="AD105" s="18"/>
      <c r="AE105" s="18"/>
      <c r="AG105" s="18"/>
      <c r="AH105" s="18"/>
      <c r="AI105" s="18"/>
      <c r="AJ105" s="18"/>
    </row>
    <row r="106" ht="13.5" customHeight="1">
      <c r="A106" s="18"/>
      <c r="B106" s="19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20"/>
      <c r="AB106" s="18"/>
      <c r="AC106" s="18"/>
      <c r="AD106" s="18"/>
      <c r="AE106" s="18"/>
      <c r="AG106" s="18"/>
      <c r="AH106" s="18"/>
      <c r="AI106" s="18"/>
      <c r="AJ106" s="18"/>
    </row>
    <row r="107" ht="13.5" customHeight="1">
      <c r="A107" s="18"/>
      <c r="B107" s="19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20"/>
      <c r="AB107" s="18"/>
      <c r="AC107" s="18"/>
      <c r="AD107" s="18"/>
      <c r="AE107" s="18"/>
      <c r="AG107" s="18"/>
      <c r="AH107" s="18"/>
      <c r="AI107" s="18"/>
      <c r="AJ107" s="18"/>
    </row>
    <row r="108" ht="13.5" customHeight="1">
      <c r="A108" s="18"/>
      <c r="B108" s="19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20"/>
      <c r="AB108" s="18"/>
      <c r="AC108" s="18"/>
      <c r="AD108" s="18"/>
      <c r="AE108" s="18"/>
      <c r="AG108" s="18"/>
      <c r="AH108" s="18"/>
      <c r="AI108" s="18"/>
      <c r="AJ108" s="18"/>
    </row>
    <row r="109" ht="13.5" customHeight="1">
      <c r="A109" s="18"/>
      <c r="B109" s="19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20"/>
      <c r="AB109" s="18"/>
      <c r="AC109" s="18"/>
      <c r="AD109" s="18"/>
      <c r="AE109" s="18"/>
      <c r="AG109" s="18"/>
      <c r="AH109" s="18"/>
      <c r="AI109" s="18"/>
      <c r="AJ109" s="18"/>
    </row>
    <row r="110" ht="13.5" customHeight="1">
      <c r="A110" s="18"/>
      <c r="B110" s="19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20"/>
      <c r="AB110" s="18"/>
      <c r="AC110" s="18"/>
      <c r="AD110" s="18"/>
      <c r="AE110" s="18"/>
      <c r="AG110" s="18"/>
      <c r="AH110" s="18"/>
      <c r="AI110" s="18"/>
      <c r="AJ110" s="18"/>
    </row>
    <row r="111" ht="13.5" customHeight="1">
      <c r="A111" s="18"/>
      <c r="B111" s="19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20"/>
      <c r="AB111" s="18"/>
      <c r="AC111" s="18"/>
      <c r="AD111" s="18"/>
      <c r="AE111" s="18"/>
      <c r="AG111" s="18"/>
      <c r="AH111" s="18"/>
      <c r="AI111" s="18"/>
      <c r="AJ111" s="18"/>
    </row>
    <row r="112" ht="13.5" customHeight="1">
      <c r="A112" s="18"/>
      <c r="B112" s="19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20"/>
      <c r="AB112" s="18"/>
      <c r="AC112" s="18"/>
      <c r="AD112" s="18"/>
      <c r="AE112" s="18"/>
      <c r="AG112" s="18"/>
      <c r="AH112" s="18"/>
      <c r="AI112" s="18"/>
      <c r="AJ112" s="18"/>
    </row>
    <row r="113" ht="13.5" customHeight="1">
      <c r="A113" s="18"/>
      <c r="B113" s="19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20"/>
      <c r="AB113" s="18"/>
      <c r="AC113" s="18"/>
      <c r="AD113" s="18"/>
      <c r="AE113" s="18"/>
      <c r="AG113" s="18"/>
      <c r="AH113" s="18"/>
      <c r="AI113" s="18"/>
      <c r="AJ113" s="18"/>
    </row>
    <row r="114" ht="13.5" customHeight="1">
      <c r="A114" s="18"/>
      <c r="B114" s="19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20"/>
      <c r="AB114" s="18"/>
      <c r="AC114" s="18"/>
      <c r="AD114" s="18"/>
      <c r="AE114" s="18"/>
      <c r="AG114" s="18"/>
      <c r="AH114" s="18"/>
      <c r="AI114" s="18"/>
      <c r="AJ114" s="18"/>
    </row>
    <row r="115" ht="13.5" customHeight="1">
      <c r="A115" s="18"/>
      <c r="B115" s="19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20"/>
      <c r="AB115" s="18"/>
      <c r="AC115" s="18"/>
      <c r="AD115" s="18"/>
      <c r="AE115" s="18"/>
      <c r="AG115" s="18"/>
      <c r="AH115" s="18"/>
      <c r="AI115" s="18"/>
      <c r="AJ115" s="18"/>
    </row>
    <row r="116" ht="13.5" customHeight="1">
      <c r="A116" s="18"/>
      <c r="B116" s="19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20"/>
      <c r="AB116" s="18"/>
      <c r="AC116" s="18"/>
      <c r="AD116" s="18"/>
      <c r="AE116" s="18"/>
      <c r="AG116" s="18"/>
      <c r="AH116" s="18"/>
      <c r="AI116" s="18"/>
      <c r="AJ116" s="18"/>
    </row>
    <row r="117" ht="13.5" customHeight="1">
      <c r="A117" s="18"/>
      <c r="B117" s="19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20"/>
      <c r="AB117" s="18"/>
      <c r="AC117" s="18"/>
      <c r="AD117" s="18"/>
      <c r="AE117" s="18"/>
      <c r="AG117" s="18"/>
      <c r="AH117" s="18"/>
      <c r="AI117" s="18"/>
      <c r="AJ117" s="18"/>
    </row>
    <row r="118" ht="13.5" customHeight="1">
      <c r="A118" s="18"/>
      <c r="B118" s="19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20"/>
      <c r="AB118" s="18"/>
      <c r="AC118" s="18"/>
      <c r="AD118" s="18"/>
      <c r="AE118" s="18"/>
      <c r="AG118" s="18"/>
      <c r="AH118" s="18"/>
      <c r="AI118" s="18"/>
      <c r="AJ118" s="18"/>
    </row>
    <row r="119" ht="13.5" customHeight="1">
      <c r="A119" s="18"/>
      <c r="B119" s="19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20"/>
      <c r="AB119" s="18"/>
      <c r="AC119" s="18"/>
      <c r="AD119" s="18"/>
      <c r="AE119" s="18"/>
      <c r="AG119" s="18"/>
      <c r="AH119" s="18"/>
      <c r="AI119" s="18"/>
      <c r="AJ119" s="18"/>
    </row>
    <row r="120" ht="13.5" customHeight="1">
      <c r="A120" s="18"/>
      <c r="B120" s="19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20"/>
      <c r="AB120" s="18"/>
      <c r="AC120" s="18"/>
      <c r="AD120" s="18"/>
      <c r="AE120" s="18"/>
      <c r="AG120" s="18"/>
      <c r="AH120" s="18"/>
      <c r="AI120" s="18"/>
      <c r="AJ120" s="18"/>
    </row>
    <row r="121" ht="13.5" customHeight="1">
      <c r="A121" s="18"/>
      <c r="B121" s="19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20"/>
      <c r="AB121" s="18"/>
      <c r="AC121" s="18"/>
      <c r="AD121" s="18"/>
      <c r="AE121" s="18"/>
      <c r="AG121" s="18"/>
      <c r="AH121" s="18"/>
      <c r="AI121" s="18"/>
      <c r="AJ121" s="18"/>
    </row>
    <row r="122" ht="13.5" customHeight="1">
      <c r="A122" s="18"/>
      <c r="B122" s="19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20"/>
      <c r="AB122" s="18"/>
      <c r="AC122" s="18"/>
      <c r="AD122" s="18"/>
      <c r="AE122" s="18"/>
      <c r="AG122" s="18"/>
      <c r="AH122" s="18"/>
      <c r="AI122" s="18"/>
      <c r="AJ122" s="18"/>
    </row>
    <row r="123" ht="13.5" customHeight="1">
      <c r="A123" s="18"/>
      <c r="B123" s="19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20"/>
      <c r="AB123" s="18"/>
      <c r="AC123" s="18"/>
      <c r="AD123" s="18"/>
      <c r="AE123" s="18"/>
      <c r="AG123" s="18"/>
      <c r="AH123" s="18"/>
      <c r="AI123" s="18"/>
      <c r="AJ123" s="18"/>
    </row>
    <row r="124" ht="13.5" customHeight="1">
      <c r="A124" s="18"/>
      <c r="B124" s="19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20"/>
      <c r="AB124" s="18"/>
      <c r="AC124" s="18"/>
      <c r="AD124" s="18"/>
      <c r="AE124" s="18"/>
      <c r="AG124" s="18"/>
      <c r="AH124" s="18"/>
      <c r="AI124" s="18"/>
      <c r="AJ124" s="18"/>
    </row>
    <row r="125" ht="13.5" customHeight="1">
      <c r="A125" s="18"/>
      <c r="B125" s="19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20"/>
      <c r="AB125" s="18"/>
      <c r="AC125" s="18"/>
      <c r="AD125" s="18"/>
      <c r="AE125" s="18"/>
      <c r="AG125" s="18"/>
      <c r="AH125" s="18"/>
      <c r="AI125" s="18"/>
      <c r="AJ125" s="18"/>
    </row>
    <row r="126" ht="13.5" customHeight="1">
      <c r="A126" s="18"/>
      <c r="B126" s="19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20"/>
      <c r="AB126" s="18"/>
      <c r="AC126" s="18"/>
      <c r="AD126" s="18"/>
      <c r="AE126" s="18"/>
      <c r="AG126" s="18"/>
      <c r="AH126" s="18"/>
      <c r="AI126" s="18"/>
      <c r="AJ126" s="18"/>
    </row>
    <row r="127" ht="13.5" customHeight="1">
      <c r="A127" s="18"/>
      <c r="B127" s="19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20"/>
      <c r="AB127" s="18"/>
      <c r="AC127" s="18"/>
      <c r="AD127" s="18"/>
      <c r="AE127" s="18"/>
      <c r="AG127" s="18"/>
      <c r="AH127" s="18"/>
      <c r="AI127" s="18"/>
      <c r="AJ127" s="18"/>
    </row>
    <row r="128" ht="13.5" customHeight="1">
      <c r="A128" s="18"/>
      <c r="B128" s="19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20"/>
      <c r="AB128" s="18"/>
      <c r="AC128" s="18"/>
      <c r="AD128" s="18"/>
      <c r="AE128" s="18"/>
      <c r="AG128" s="18"/>
      <c r="AH128" s="18"/>
      <c r="AI128" s="18"/>
      <c r="AJ128" s="18"/>
    </row>
    <row r="129" ht="13.5" customHeight="1">
      <c r="A129" s="18"/>
      <c r="B129" s="19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20"/>
      <c r="AB129" s="18"/>
      <c r="AC129" s="18"/>
      <c r="AD129" s="18"/>
      <c r="AE129" s="18"/>
      <c r="AG129" s="18"/>
      <c r="AH129" s="18"/>
      <c r="AI129" s="18"/>
      <c r="AJ129" s="18"/>
    </row>
    <row r="130" ht="13.5" customHeight="1">
      <c r="A130" s="18"/>
      <c r="B130" s="19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20"/>
      <c r="AB130" s="18"/>
      <c r="AC130" s="18"/>
      <c r="AD130" s="18"/>
      <c r="AE130" s="18"/>
      <c r="AG130" s="18"/>
      <c r="AH130" s="18"/>
      <c r="AI130" s="18"/>
      <c r="AJ130" s="18"/>
    </row>
    <row r="131" ht="13.5" customHeight="1">
      <c r="A131" s="18"/>
      <c r="B131" s="19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20"/>
      <c r="AB131" s="18"/>
      <c r="AC131" s="18"/>
      <c r="AD131" s="18"/>
      <c r="AE131" s="18"/>
      <c r="AG131" s="18"/>
      <c r="AH131" s="18"/>
      <c r="AI131" s="18"/>
      <c r="AJ131" s="18"/>
    </row>
    <row r="132" ht="13.5" customHeight="1">
      <c r="A132" s="18"/>
      <c r="B132" s="19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20"/>
      <c r="AB132" s="18"/>
      <c r="AC132" s="18"/>
      <c r="AD132" s="18"/>
      <c r="AE132" s="18"/>
      <c r="AG132" s="18"/>
      <c r="AH132" s="18"/>
      <c r="AI132" s="18"/>
      <c r="AJ132" s="18"/>
    </row>
    <row r="133" ht="13.5" customHeight="1">
      <c r="A133" s="18"/>
      <c r="B133" s="19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20"/>
      <c r="AB133" s="18"/>
      <c r="AC133" s="18"/>
      <c r="AD133" s="18"/>
      <c r="AE133" s="18"/>
      <c r="AG133" s="18"/>
      <c r="AH133" s="18"/>
      <c r="AI133" s="18"/>
      <c r="AJ133" s="18"/>
    </row>
    <row r="134" ht="13.5" customHeight="1">
      <c r="A134" s="18"/>
      <c r="B134" s="19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20"/>
      <c r="AB134" s="18"/>
      <c r="AC134" s="18"/>
      <c r="AD134" s="18"/>
      <c r="AE134" s="18"/>
      <c r="AG134" s="18"/>
      <c r="AH134" s="18"/>
      <c r="AI134" s="18"/>
      <c r="AJ134" s="18"/>
    </row>
    <row r="135" ht="13.5" customHeight="1">
      <c r="A135" s="18"/>
      <c r="B135" s="19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20"/>
      <c r="AB135" s="18"/>
      <c r="AC135" s="18"/>
      <c r="AD135" s="18"/>
      <c r="AE135" s="18"/>
      <c r="AG135" s="18"/>
      <c r="AH135" s="18"/>
      <c r="AI135" s="18"/>
      <c r="AJ135" s="18"/>
    </row>
    <row r="136" ht="13.5" customHeight="1">
      <c r="A136" s="18"/>
      <c r="B136" s="19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20"/>
      <c r="AB136" s="18"/>
      <c r="AC136" s="18"/>
      <c r="AD136" s="18"/>
      <c r="AE136" s="18"/>
      <c r="AG136" s="18"/>
      <c r="AH136" s="18"/>
      <c r="AI136" s="18"/>
      <c r="AJ136" s="18"/>
    </row>
    <row r="137" ht="13.5" customHeight="1">
      <c r="A137" s="18"/>
      <c r="B137" s="19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20"/>
      <c r="AB137" s="18"/>
      <c r="AC137" s="18"/>
      <c r="AD137" s="18"/>
      <c r="AE137" s="18"/>
      <c r="AG137" s="18"/>
      <c r="AH137" s="18"/>
      <c r="AI137" s="18"/>
      <c r="AJ137" s="18"/>
    </row>
    <row r="138" ht="13.5" customHeight="1">
      <c r="A138" s="18"/>
      <c r="B138" s="19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20"/>
      <c r="AB138" s="18"/>
      <c r="AC138" s="18"/>
      <c r="AD138" s="18"/>
      <c r="AE138" s="18"/>
      <c r="AG138" s="18"/>
      <c r="AH138" s="18"/>
      <c r="AI138" s="18"/>
      <c r="AJ138" s="18"/>
    </row>
    <row r="139" ht="13.5" customHeight="1">
      <c r="A139" s="18"/>
      <c r="B139" s="19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20"/>
      <c r="AB139" s="18"/>
      <c r="AC139" s="18"/>
      <c r="AD139" s="18"/>
      <c r="AE139" s="18"/>
      <c r="AG139" s="18"/>
      <c r="AH139" s="18"/>
      <c r="AI139" s="18"/>
      <c r="AJ139" s="18"/>
    </row>
    <row r="140" ht="13.5" customHeight="1">
      <c r="A140" s="18"/>
      <c r="B140" s="19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20"/>
      <c r="AB140" s="18"/>
      <c r="AC140" s="18"/>
      <c r="AD140" s="18"/>
      <c r="AE140" s="18"/>
      <c r="AG140" s="18"/>
      <c r="AH140" s="18"/>
      <c r="AI140" s="18"/>
      <c r="AJ140" s="18"/>
    </row>
    <row r="141" ht="13.5" customHeight="1">
      <c r="A141" s="18"/>
      <c r="B141" s="19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20"/>
      <c r="AB141" s="18"/>
      <c r="AC141" s="18"/>
      <c r="AD141" s="18"/>
      <c r="AE141" s="18"/>
      <c r="AG141" s="18"/>
      <c r="AH141" s="18"/>
      <c r="AI141" s="18"/>
      <c r="AJ141" s="18"/>
    </row>
    <row r="142" ht="13.5" customHeight="1">
      <c r="A142" s="18"/>
      <c r="B142" s="19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20"/>
      <c r="AB142" s="18"/>
      <c r="AC142" s="18"/>
      <c r="AD142" s="18"/>
      <c r="AE142" s="18"/>
      <c r="AG142" s="18"/>
      <c r="AH142" s="18"/>
      <c r="AI142" s="18"/>
      <c r="AJ142" s="18"/>
    </row>
    <row r="143" ht="13.5" customHeight="1">
      <c r="A143" s="18"/>
      <c r="B143" s="19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20"/>
      <c r="AB143" s="18"/>
      <c r="AC143" s="18"/>
      <c r="AD143" s="18"/>
      <c r="AE143" s="18"/>
      <c r="AG143" s="18"/>
      <c r="AH143" s="18"/>
      <c r="AI143" s="18"/>
      <c r="AJ143" s="18"/>
    </row>
    <row r="144" ht="13.5" customHeight="1">
      <c r="A144" s="18"/>
      <c r="B144" s="19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20"/>
      <c r="AB144" s="18"/>
      <c r="AC144" s="18"/>
      <c r="AD144" s="18"/>
      <c r="AE144" s="18"/>
      <c r="AG144" s="18"/>
      <c r="AH144" s="18"/>
      <c r="AI144" s="18"/>
      <c r="AJ144" s="18"/>
    </row>
    <row r="145" ht="13.5" customHeight="1">
      <c r="A145" s="18"/>
      <c r="B145" s="19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20"/>
      <c r="AB145" s="18"/>
      <c r="AC145" s="18"/>
      <c r="AD145" s="18"/>
      <c r="AE145" s="18"/>
      <c r="AG145" s="18"/>
      <c r="AH145" s="18"/>
      <c r="AI145" s="18"/>
      <c r="AJ145" s="18"/>
    </row>
    <row r="146" ht="13.5" customHeight="1">
      <c r="A146" s="18"/>
      <c r="B146" s="19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20"/>
      <c r="AB146" s="18"/>
      <c r="AC146" s="18"/>
      <c r="AD146" s="18"/>
      <c r="AE146" s="18"/>
      <c r="AG146" s="18"/>
      <c r="AH146" s="18"/>
      <c r="AI146" s="18"/>
      <c r="AJ146" s="18"/>
    </row>
    <row r="147" ht="13.5" customHeight="1">
      <c r="A147" s="18"/>
      <c r="B147" s="19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20"/>
      <c r="AB147" s="18"/>
      <c r="AC147" s="18"/>
      <c r="AD147" s="18"/>
      <c r="AE147" s="18"/>
      <c r="AG147" s="18"/>
      <c r="AH147" s="18"/>
      <c r="AI147" s="18"/>
      <c r="AJ147" s="18"/>
    </row>
    <row r="148" ht="13.5" customHeight="1">
      <c r="A148" s="18"/>
      <c r="B148" s="19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20"/>
      <c r="AB148" s="18"/>
      <c r="AC148" s="18"/>
      <c r="AD148" s="18"/>
      <c r="AE148" s="18"/>
      <c r="AG148" s="18"/>
      <c r="AH148" s="18"/>
      <c r="AI148" s="18"/>
      <c r="AJ148" s="18"/>
    </row>
    <row r="149" ht="13.5" customHeight="1">
      <c r="A149" s="18"/>
      <c r="B149" s="19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20"/>
      <c r="AB149" s="18"/>
      <c r="AC149" s="18"/>
      <c r="AD149" s="18"/>
      <c r="AE149" s="18"/>
      <c r="AG149" s="18"/>
      <c r="AH149" s="18"/>
      <c r="AI149" s="18"/>
      <c r="AJ149" s="18"/>
    </row>
    <row r="150" ht="13.5" customHeight="1">
      <c r="A150" s="18"/>
      <c r="B150" s="19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20"/>
      <c r="AB150" s="18"/>
      <c r="AC150" s="18"/>
      <c r="AD150" s="18"/>
      <c r="AE150" s="18"/>
      <c r="AG150" s="18"/>
      <c r="AH150" s="18"/>
      <c r="AI150" s="18"/>
      <c r="AJ150" s="18"/>
    </row>
    <row r="151" ht="13.5" customHeight="1">
      <c r="A151" s="18"/>
      <c r="B151" s="19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20"/>
      <c r="AB151" s="18"/>
      <c r="AC151" s="18"/>
      <c r="AD151" s="18"/>
      <c r="AE151" s="18"/>
      <c r="AG151" s="18"/>
      <c r="AH151" s="18"/>
      <c r="AI151" s="18"/>
      <c r="AJ151" s="18"/>
    </row>
    <row r="152" ht="13.5" customHeight="1">
      <c r="A152" s="18"/>
      <c r="B152" s="19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20"/>
      <c r="AB152" s="18"/>
      <c r="AC152" s="18"/>
      <c r="AD152" s="18"/>
      <c r="AE152" s="18"/>
      <c r="AG152" s="18"/>
      <c r="AH152" s="18"/>
      <c r="AI152" s="18"/>
      <c r="AJ152" s="18"/>
    </row>
    <row r="153" ht="13.5" customHeight="1">
      <c r="A153" s="18"/>
      <c r="B153" s="19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20"/>
      <c r="AB153" s="18"/>
      <c r="AC153" s="18"/>
      <c r="AD153" s="18"/>
      <c r="AE153" s="18"/>
      <c r="AG153" s="18"/>
      <c r="AH153" s="18"/>
      <c r="AI153" s="18"/>
      <c r="AJ153" s="18"/>
    </row>
    <row r="154" ht="13.5" customHeight="1">
      <c r="A154" s="18"/>
      <c r="B154" s="19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20"/>
      <c r="AB154" s="18"/>
      <c r="AC154" s="18"/>
      <c r="AD154" s="18"/>
      <c r="AE154" s="18"/>
      <c r="AG154" s="18"/>
      <c r="AH154" s="18"/>
      <c r="AI154" s="18"/>
      <c r="AJ154" s="18"/>
    </row>
    <row r="155" ht="13.5" customHeight="1">
      <c r="A155" s="18"/>
      <c r="B155" s="19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20"/>
      <c r="AB155" s="18"/>
      <c r="AC155" s="18"/>
      <c r="AD155" s="18"/>
      <c r="AE155" s="18"/>
      <c r="AG155" s="18"/>
      <c r="AH155" s="18"/>
      <c r="AI155" s="18"/>
      <c r="AJ155" s="18"/>
    </row>
    <row r="156" ht="13.5" customHeight="1">
      <c r="A156" s="18"/>
      <c r="B156" s="19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20"/>
      <c r="AB156" s="18"/>
      <c r="AC156" s="18"/>
      <c r="AD156" s="18"/>
      <c r="AE156" s="18"/>
      <c r="AG156" s="18"/>
      <c r="AH156" s="18"/>
      <c r="AI156" s="18"/>
      <c r="AJ156" s="18"/>
    </row>
    <row r="157" ht="13.5" customHeight="1">
      <c r="A157" s="18"/>
      <c r="B157" s="19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20"/>
      <c r="AB157" s="18"/>
      <c r="AC157" s="18"/>
      <c r="AD157" s="18"/>
      <c r="AE157" s="18"/>
      <c r="AG157" s="18"/>
      <c r="AH157" s="18"/>
      <c r="AI157" s="18"/>
      <c r="AJ157" s="18"/>
    </row>
    <row r="158" ht="13.5" customHeight="1">
      <c r="A158" s="18"/>
      <c r="B158" s="19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20"/>
      <c r="AB158" s="18"/>
      <c r="AC158" s="18"/>
      <c r="AD158" s="18"/>
      <c r="AE158" s="18"/>
      <c r="AG158" s="18"/>
      <c r="AH158" s="18"/>
      <c r="AI158" s="18"/>
      <c r="AJ158" s="18"/>
    </row>
    <row r="159" ht="13.5" customHeight="1">
      <c r="A159" s="18"/>
      <c r="B159" s="19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20"/>
      <c r="AB159" s="18"/>
      <c r="AC159" s="18"/>
      <c r="AD159" s="18"/>
      <c r="AE159" s="18"/>
      <c r="AG159" s="18"/>
      <c r="AH159" s="18"/>
      <c r="AI159" s="18"/>
      <c r="AJ159" s="18"/>
    </row>
    <row r="160" ht="13.5" customHeight="1">
      <c r="A160" s="18"/>
      <c r="B160" s="19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20"/>
      <c r="AB160" s="18"/>
      <c r="AC160" s="18"/>
      <c r="AD160" s="18"/>
      <c r="AE160" s="18"/>
      <c r="AG160" s="18"/>
      <c r="AH160" s="18"/>
      <c r="AI160" s="18"/>
      <c r="AJ160" s="18"/>
    </row>
    <row r="161" ht="13.5" customHeight="1">
      <c r="A161" s="18"/>
      <c r="B161" s="19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20"/>
      <c r="AB161" s="18"/>
      <c r="AC161" s="18"/>
      <c r="AD161" s="18"/>
      <c r="AE161" s="18"/>
      <c r="AG161" s="18"/>
      <c r="AH161" s="18"/>
      <c r="AI161" s="18"/>
      <c r="AJ161" s="18"/>
    </row>
    <row r="162" ht="13.5" customHeight="1">
      <c r="A162" s="18"/>
      <c r="B162" s="19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20"/>
      <c r="AB162" s="18"/>
      <c r="AC162" s="18"/>
      <c r="AD162" s="18"/>
      <c r="AE162" s="18"/>
      <c r="AG162" s="18"/>
      <c r="AH162" s="18"/>
      <c r="AI162" s="18"/>
      <c r="AJ162" s="18"/>
    </row>
    <row r="163" ht="13.5" customHeight="1">
      <c r="A163" s="18"/>
      <c r="B163" s="19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20"/>
      <c r="AB163" s="18"/>
      <c r="AC163" s="18"/>
      <c r="AD163" s="18"/>
      <c r="AE163" s="18"/>
      <c r="AG163" s="18"/>
      <c r="AH163" s="18"/>
      <c r="AI163" s="18"/>
      <c r="AJ163" s="18"/>
    </row>
    <row r="164" ht="13.5" customHeight="1">
      <c r="A164" s="18"/>
      <c r="B164" s="19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20"/>
      <c r="AB164" s="18"/>
      <c r="AC164" s="18"/>
      <c r="AD164" s="18"/>
      <c r="AE164" s="18"/>
      <c r="AG164" s="18"/>
      <c r="AH164" s="18"/>
      <c r="AI164" s="18"/>
      <c r="AJ164" s="18"/>
    </row>
    <row r="165" ht="13.5" customHeight="1">
      <c r="A165" s="18"/>
      <c r="B165" s="19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20"/>
      <c r="AB165" s="18"/>
      <c r="AC165" s="18"/>
      <c r="AD165" s="18"/>
      <c r="AE165" s="18"/>
      <c r="AG165" s="18"/>
      <c r="AH165" s="18"/>
      <c r="AI165" s="18"/>
      <c r="AJ165" s="18"/>
    </row>
    <row r="166" ht="13.5" customHeight="1">
      <c r="A166" s="18"/>
      <c r="B166" s="19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20"/>
      <c r="AB166" s="18"/>
      <c r="AC166" s="18"/>
      <c r="AD166" s="18"/>
      <c r="AE166" s="18"/>
      <c r="AG166" s="18"/>
      <c r="AH166" s="18"/>
      <c r="AI166" s="18"/>
      <c r="AJ166" s="18"/>
    </row>
    <row r="167" ht="13.5" customHeight="1">
      <c r="A167" s="18"/>
      <c r="B167" s="19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20"/>
      <c r="AB167" s="18"/>
      <c r="AC167" s="18"/>
      <c r="AD167" s="18"/>
      <c r="AE167" s="18"/>
      <c r="AG167" s="18"/>
      <c r="AH167" s="18"/>
      <c r="AI167" s="18"/>
      <c r="AJ167" s="18"/>
    </row>
    <row r="168" ht="13.5" customHeight="1">
      <c r="A168" s="18"/>
      <c r="B168" s="19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20"/>
      <c r="AB168" s="18"/>
      <c r="AC168" s="18"/>
      <c r="AD168" s="18"/>
      <c r="AE168" s="18"/>
      <c r="AG168" s="18"/>
      <c r="AH168" s="18"/>
      <c r="AI168" s="18"/>
      <c r="AJ168" s="18"/>
    </row>
    <row r="169" ht="13.5" customHeight="1">
      <c r="A169" s="18"/>
      <c r="B169" s="19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20"/>
      <c r="AB169" s="18"/>
      <c r="AC169" s="18"/>
      <c r="AD169" s="18"/>
      <c r="AE169" s="18"/>
      <c r="AG169" s="18"/>
      <c r="AH169" s="18"/>
      <c r="AI169" s="18"/>
      <c r="AJ169" s="18"/>
    </row>
    <row r="170" ht="13.5" customHeight="1">
      <c r="A170" s="18"/>
      <c r="B170" s="19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20"/>
      <c r="AB170" s="18"/>
      <c r="AC170" s="18"/>
      <c r="AD170" s="18"/>
      <c r="AE170" s="18"/>
      <c r="AG170" s="18"/>
      <c r="AH170" s="18"/>
      <c r="AI170" s="18"/>
      <c r="AJ170" s="18"/>
    </row>
    <row r="171" ht="13.5" customHeight="1">
      <c r="A171" s="18"/>
      <c r="B171" s="19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20"/>
      <c r="AB171" s="18"/>
      <c r="AC171" s="18"/>
      <c r="AD171" s="18"/>
      <c r="AE171" s="18"/>
      <c r="AG171" s="18"/>
      <c r="AH171" s="18"/>
      <c r="AI171" s="18"/>
      <c r="AJ171" s="18"/>
    </row>
    <row r="172" ht="13.5" customHeight="1">
      <c r="A172" s="18"/>
      <c r="B172" s="19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20"/>
      <c r="AB172" s="18"/>
      <c r="AC172" s="18"/>
      <c r="AD172" s="18"/>
      <c r="AE172" s="18"/>
      <c r="AG172" s="18"/>
      <c r="AH172" s="18"/>
      <c r="AI172" s="18"/>
      <c r="AJ172" s="18"/>
    </row>
    <row r="173" ht="13.5" customHeight="1">
      <c r="A173" s="18"/>
      <c r="B173" s="19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20"/>
      <c r="AB173" s="18"/>
      <c r="AC173" s="18"/>
      <c r="AD173" s="18"/>
      <c r="AE173" s="18"/>
      <c r="AG173" s="18"/>
      <c r="AH173" s="18"/>
      <c r="AI173" s="18"/>
      <c r="AJ173" s="18"/>
    </row>
    <row r="174" ht="13.5" customHeight="1">
      <c r="A174" s="18"/>
      <c r="B174" s="19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20"/>
      <c r="AB174" s="18"/>
      <c r="AC174" s="18"/>
      <c r="AD174" s="18"/>
      <c r="AE174" s="18"/>
      <c r="AG174" s="18"/>
      <c r="AH174" s="18"/>
      <c r="AI174" s="18"/>
      <c r="AJ174" s="18"/>
    </row>
    <row r="175" ht="13.5" customHeight="1">
      <c r="A175" s="18"/>
      <c r="B175" s="19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20"/>
      <c r="AB175" s="18"/>
      <c r="AC175" s="18"/>
      <c r="AD175" s="18"/>
      <c r="AE175" s="18"/>
      <c r="AG175" s="18"/>
      <c r="AH175" s="18"/>
      <c r="AI175" s="18"/>
      <c r="AJ175" s="18"/>
    </row>
    <row r="176" ht="13.5" customHeight="1">
      <c r="A176" s="18"/>
      <c r="B176" s="19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20"/>
      <c r="AB176" s="18"/>
      <c r="AC176" s="18"/>
      <c r="AD176" s="18"/>
      <c r="AE176" s="18"/>
      <c r="AG176" s="18"/>
      <c r="AH176" s="18"/>
      <c r="AI176" s="18"/>
      <c r="AJ176" s="18"/>
    </row>
    <row r="177" ht="13.5" customHeight="1">
      <c r="A177" s="18"/>
      <c r="B177" s="19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20"/>
      <c r="AB177" s="18"/>
      <c r="AC177" s="18"/>
      <c r="AD177" s="18"/>
      <c r="AE177" s="18"/>
      <c r="AG177" s="18"/>
      <c r="AH177" s="18"/>
      <c r="AI177" s="18"/>
      <c r="AJ177" s="18"/>
    </row>
    <row r="178" ht="13.5" customHeight="1">
      <c r="A178" s="18"/>
      <c r="B178" s="19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20"/>
      <c r="AB178" s="18"/>
      <c r="AC178" s="18"/>
      <c r="AD178" s="18"/>
      <c r="AE178" s="18"/>
      <c r="AG178" s="18"/>
      <c r="AH178" s="18"/>
      <c r="AI178" s="18"/>
      <c r="AJ178" s="18"/>
    </row>
    <row r="179" ht="13.5" customHeight="1">
      <c r="A179" s="18"/>
      <c r="B179" s="19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20"/>
      <c r="AB179" s="18"/>
      <c r="AC179" s="18"/>
      <c r="AD179" s="18"/>
      <c r="AE179" s="18"/>
      <c r="AG179" s="18"/>
      <c r="AH179" s="18"/>
      <c r="AI179" s="18"/>
      <c r="AJ179" s="18"/>
    </row>
    <row r="180" ht="13.5" customHeight="1">
      <c r="A180" s="18"/>
      <c r="B180" s="19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20"/>
      <c r="AB180" s="18"/>
      <c r="AC180" s="18"/>
      <c r="AD180" s="18"/>
      <c r="AE180" s="18"/>
      <c r="AG180" s="18"/>
      <c r="AH180" s="18"/>
      <c r="AI180" s="18"/>
      <c r="AJ180" s="18"/>
    </row>
    <row r="181" ht="13.5" customHeight="1">
      <c r="A181" s="18"/>
      <c r="B181" s="19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20"/>
      <c r="AB181" s="18"/>
      <c r="AC181" s="18"/>
      <c r="AD181" s="18"/>
      <c r="AE181" s="18"/>
      <c r="AG181" s="18"/>
      <c r="AH181" s="18"/>
      <c r="AI181" s="18"/>
      <c r="AJ181" s="18"/>
    </row>
    <row r="182" ht="13.5" customHeight="1">
      <c r="A182" s="18"/>
      <c r="B182" s="19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20"/>
      <c r="AB182" s="18"/>
      <c r="AC182" s="18"/>
      <c r="AD182" s="18"/>
      <c r="AE182" s="18"/>
      <c r="AG182" s="18"/>
      <c r="AH182" s="18"/>
      <c r="AI182" s="18"/>
      <c r="AJ182" s="18"/>
    </row>
    <row r="183" ht="13.5" customHeight="1">
      <c r="A183" s="18"/>
      <c r="B183" s="19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20"/>
      <c r="AB183" s="18"/>
      <c r="AC183" s="18"/>
      <c r="AD183" s="18"/>
      <c r="AE183" s="18"/>
      <c r="AG183" s="18"/>
      <c r="AH183" s="18"/>
      <c r="AI183" s="18"/>
      <c r="AJ183" s="18"/>
    </row>
    <row r="184" ht="13.5" customHeight="1">
      <c r="A184" s="18"/>
      <c r="B184" s="19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20"/>
      <c r="AB184" s="18"/>
      <c r="AC184" s="18"/>
      <c r="AD184" s="18"/>
      <c r="AE184" s="18"/>
      <c r="AG184" s="18"/>
      <c r="AH184" s="18"/>
      <c r="AI184" s="18"/>
      <c r="AJ184" s="18"/>
    </row>
    <row r="185" ht="13.5" customHeight="1">
      <c r="A185" s="18"/>
      <c r="B185" s="19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20"/>
      <c r="AB185" s="18"/>
      <c r="AC185" s="18"/>
      <c r="AD185" s="18"/>
      <c r="AE185" s="18"/>
      <c r="AG185" s="18"/>
      <c r="AH185" s="18"/>
      <c r="AI185" s="18"/>
      <c r="AJ185" s="18"/>
    </row>
    <row r="186" ht="13.5" customHeight="1">
      <c r="A186" s="18"/>
      <c r="B186" s="19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20"/>
      <c r="AB186" s="18"/>
      <c r="AC186" s="18"/>
      <c r="AD186" s="18"/>
      <c r="AE186" s="18"/>
      <c r="AG186" s="18"/>
      <c r="AH186" s="18"/>
      <c r="AI186" s="18"/>
      <c r="AJ186" s="18"/>
    </row>
    <row r="187" ht="13.5" customHeight="1">
      <c r="A187" s="18"/>
      <c r="B187" s="19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20"/>
      <c r="AB187" s="18"/>
      <c r="AC187" s="18"/>
      <c r="AD187" s="18"/>
      <c r="AE187" s="18"/>
      <c r="AG187" s="18"/>
      <c r="AH187" s="18"/>
      <c r="AI187" s="18"/>
      <c r="AJ187" s="18"/>
    </row>
    <row r="188" ht="13.5" customHeight="1">
      <c r="A188" s="18"/>
      <c r="B188" s="19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20"/>
      <c r="AB188" s="18"/>
      <c r="AC188" s="18"/>
      <c r="AD188" s="18"/>
      <c r="AE188" s="18"/>
      <c r="AG188" s="18"/>
      <c r="AH188" s="18"/>
      <c r="AI188" s="18"/>
      <c r="AJ188" s="18"/>
    </row>
    <row r="189" ht="13.5" customHeight="1">
      <c r="A189" s="18"/>
      <c r="B189" s="19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20"/>
      <c r="AB189" s="18"/>
      <c r="AC189" s="18"/>
      <c r="AD189" s="18"/>
      <c r="AE189" s="18"/>
      <c r="AG189" s="18"/>
      <c r="AH189" s="18"/>
      <c r="AI189" s="18"/>
      <c r="AJ189" s="18"/>
    </row>
    <row r="190" ht="13.5" customHeight="1">
      <c r="A190" s="18"/>
      <c r="B190" s="19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20"/>
      <c r="AB190" s="18"/>
      <c r="AC190" s="18"/>
      <c r="AD190" s="18"/>
      <c r="AE190" s="18"/>
      <c r="AG190" s="18"/>
      <c r="AH190" s="18"/>
      <c r="AI190" s="18"/>
      <c r="AJ190" s="18"/>
    </row>
    <row r="191" ht="13.5" customHeight="1">
      <c r="A191" s="18"/>
      <c r="B191" s="19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20"/>
      <c r="AB191" s="18"/>
      <c r="AC191" s="18"/>
      <c r="AD191" s="18"/>
      <c r="AE191" s="18"/>
      <c r="AG191" s="18"/>
      <c r="AH191" s="18"/>
      <c r="AI191" s="18"/>
      <c r="AJ191" s="18"/>
    </row>
    <row r="192" ht="13.5" customHeight="1">
      <c r="A192" s="18"/>
      <c r="B192" s="19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20"/>
      <c r="AB192" s="18"/>
      <c r="AC192" s="18"/>
      <c r="AD192" s="18"/>
      <c r="AE192" s="18"/>
      <c r="AG192" s="18"/>
      <c r="AH192" s="18"/>
      <c r="AI192" s="18"/>
      <c r="AJ192" s="18"/>
    </row>
    <row r="193" ht="13.5" customHeight="1">
      <c r="A193" s="18"/>
      <c r="B193" s="19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20"/>
      <c r="AB193" s="18"/>
      <c r="AC193" s="18"/>
      <c r="AD193" s="18"/>
      <c r="AE193" s="18"/>
      <c r="AG193" s="18"/>
      <c r="AH193" s="18"/>
      <c r="AI193" s="18"/>
      <c r="AJ193" s="18"/>
    </row>
    <row r="194" ht="13.5" customHeight="1">
      <c r="A194" s="18"/>
      <c r="B194" s="19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20"/>
      <c r="AB194" s="18"/>
      <c r="AC194" s="18"/>
      <c r="AD194" s="18"/>
      <c r="AE194" s="18"/>
      <c r="AG194" s="18"/>
      <c r="AH194" s="18"/>
      <c r="AI194" s="18"/>
      <c r="AJ194" s="18"/>
    </row>
    <row r="195" ht="13.5" customHeight="1">
      <c r="A195" s="18"/>
      <c r="B195" s="19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20"/>
      <c r="AB195" s="18"/>
      <c r="AC195" s="18"/>
      <c r="AD195" s="18"/>
      <c r="AE195" s="18"/>
      <c r="AG195" s="18"/>
      <c r="AH195" s="18"/>
      <c r="AI195" s="18"/>
      <c r="AJ195" s="18"/>
    </row>
    <row r="196" ht="13.5" customHeight="1">
      <c r="A196" s="18"/>
      <c r="B196" s="19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20"/>
      <c r="AB196" s="18"/>
      <c r="AC196" s="18"/>
      <c r="AD196" s="18"/>
      <c r="AE196" s="18"/>
      <c r="AG196" s="18"/>
      <c r="AH196" s="18"/>
      <c r="AI196" s="18"/>
      <c r="AJ196" s="18"/>
    </row>
    <row r="197" ht="13.5" customHeight="1">
      <c r="A197" s="18"/>
      <c r="B197" s="19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20"/>
      <c r="AB197" s="18"/>
      <c r="AC197" s="18"/>
      <c r="AD197" s="18"/>
      <c r="AE197" s="18"/>
      <c r="AG197" s="18"/>
      <c r="AH197" s="18"/>
      <c r="AI197" s="18"/>
      <c r="AJ197" s="18"/>
    </row>
    <row r="198" ht="13.5" customHeight="1">
      <c r="A198" s="18"/>
      <c r="B198" s="19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20"/>
      <c r="AB198" s="18"/>
      <c r="AC198" s="18"/>
      <c r="AD198" s="18"/>
      <c r="AE198" s="18"/>
      <c r="AG198" s="18"/>
      <c r="AH198" s="18"/>
      <c r="AI198" s="18"/>
      <c r="AJ198" s="18"/>
    </row>
    <row r="199" ht="13.5" customHeight="1">
      <c r="A199" s="18"/>
      <c r="B199" s="19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20"/>
      <c r="AB199" s="18"/>
      <c r="AC199" s="18"/>
      <c r="AD199" s="18"/>
      <c r="AE199" s="18"/>
      <c r="AG199" s="18"/>
      <c r="AH199" s="18"/>
      <c r="AI199" s="18"/>
      <c r="AJ199" s="18"/>
    </row>
    <row r="200" ht="13.5" customHeight="1">
      <c r="A200" s="18"/>
      <c r="B200" s="19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20"/>
      <c r="AB200" s="18"/>
      <c r="AC200" s="18"/>
      <c r="AD200" s="18"/>
      <c r="AE200" s="18"/>
      <c r="AG200" s="18"/>
      <c r="AH200" s="18"/>
      <c r="AI200" s="18"/>
      <c r="AJ200" s="18"/>
    </row>
    <row r="201" ht="13.5" customHeight="1">
      <c r="A201" s="18"/>
      <c r="B201" s="19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20"/>
      <c r="AB201" s="18"/>
      <c r="AC201" s="18"/>
      <c r="AD201" s="18"/>
      <c r="AE201" s="18"/>
      <c r="AG201" s="18"/>
      <c r="AH201" s="18"/>
      <c r="AI201" s="18"/>
      <c r="AJ201" s="18"/>
    </row>
    <row r="202" ht="13.5" customHeight="1">
      <c r="A202" s="18"/>
      <c r="B202" s="19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20"/>
      <c r="AB202" s="18"/>
      <c r="AC202" s="18"/>
      <c r="AD202" s="18"/>
      <c r="AE202" s="18"/>
      <c r="AG202" s="18"/>
      <c r="AH202" s="18"/>
      <c r="AI202" s="18"/>
      <c r="AJ202" s="18"/>
    </row>
    <row r="203" ht="13.5" customHeight="1">
      <c r="A203" s="18"/>
      <c r="B203" s="19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20"/>
      <c r="AB203" s="18"/>
      <c r="AC203" s="18"/>
      <c r="AD203" s="18"/>
      <c r="AE203" s="18"/>
      <c r="AG203" s="18"/>
      <c r="AH203" s="18"/>
      <c r="AI203" s="18"/>
      <c r="AJ203" s="18"/>
    </row>
    <row r="204" ht="13.5" customHeight="1">
      <c r="A204" s="18"/>
      <c r="B204" s="19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20"/>
      <c r="AB204" s="18"/>
      <c r="AC204" s="18"/>
      <c r="AD204" s="18"/>
      <c r="AE204" s="18"/>
      <c r="AG204" s="18"/>
      <c r="AH204" s="18"/>
      <c r="AI204" s="18"/>
      <c r="AJ204" s="18"/>
    </row>
    <row r="205" ht="13.5" customHeight="1">
      <c r="A205" s="18"/>
      <c r="B205" s="19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20"/>
      <c r="AB205" s="18"/>
      <c r="AC205" s="18"/>
      <c r="AD205" s="18"/>
      <c r="AE205" s="18"/>
      <c r="AG205" s="18"/>
      <c r="AH205" s="18"/>
      <c r="AI205" s="18"/>
      <c r="AJ205" s="18"/>
    </row>
    <row r="206" ht="13.5" customHeight="1">
      <c r="A206" s="18"/>
      <c r="B206" s="19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20"/>
      <c r="AB206" s="18"/>
      <c r="AC206" s="18"/>
      <c r="AD206" s="18"/>
      <c r="AE206" s="18"/>
      <c r="AG206" s="18"/>
      <c r="AH206" s="18"/>
      <c r="AI206" s="18"/>
      <c r="AJ206" s="18"/>
    </row>
    <row r="207" ht="13.5" customHeight="1">
      <c r="A207" s="18"/>
      <c r="B207" s="19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20"/>
      <c r="AB207" s="18"/>
      <c r="AC207" s="18"/>
      <c r="AD207" s="18"/>
      <c r="AE207" s="18"/>
      <c r="AG207" s="18"/>
      <c r="AH207" s="18"/>
      <c r="AI207" s="18"/>
      <c r="AJ207" s="18"/>
    </row>
    <row r="208" ht="13.5" customHeight="1">
      <c r="A208" s="18"/>
      <c r="B208" s="19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20"/>
      <c r="AB208" s="18"/>
      <c r="AC208" s="18"/>
      <c r="AD208" s="18"/>
      <c r="AE208" s="18"/>
      <c r="AG208" s="18"/>
      <c r="AH208" s="18"/>
      <c r="AI208" s="18"/>
      <c r="AJ208" s="18"/>
    </row>
    <row r="209" ht="13.5" customHeight="1">
      <c r="A209" s="18"/>
      <c r="B209" s="19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20"/>
      <c r="AB209" s="18"/>
      <c r="AC209" s="18"/>
      <c r="AD209" s="18"/>
      <c r="AE209" s="18"/>
      <c r="AG209" s="18"/>
      <c r="AH209" s="18"/>
      <c r="AI209" s="18"/>
      <c r="AJ209" s="18"/>
    </row>
    <row r="210" ht="13.5" customHeight="1">
      <c r="A210" s="18"/>
      <c r="B210" s="19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20"/>
      <c r="AB210" s="18"/>
      <c r="AC210" s="18"/>
      <c r="AD210" s="18"/>
      <c r="AE210" s="18"/>
      <c r="AG210" s="18"/>
      <c r="AH210" s="18"/>
      <c r="AI210" s="18"/>
      <c r="AJ210" s="18"/>
    </row>
    <row r="211" ht="13.5" customHeight="1">
      <c r="A211" s="18"/>
      <c r="B211" s="19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20"/>
      <c r="AB211" s="18"/>
      <c r="AC211" s="18"/>
      <c r="AD211" s="18"/>
      <c r="AE211" s="18"/>
      <c r="AG211" s="18"/>
      <c r="AH211" s="18"/>
      <c r="AI211" s="18"/>
      <c r="AJ211" s="18"/>
    </row>
    <row r="212" ht="13.5" customHeight="1">
      <c r="A212" s="18"/>
      <c r="B212" s="19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20"/>
      <c r="AB212" s="18"/>
      <c r="AC212" s="18"/>
      <c r="AD212" s="18"/>
      <c r="AE212" s="18"/>
      <c r="AG212" s="18"/>
      <c r="AH212" s="18"/>
      <c r="AI212" s="18"/>
      <c r="AJ212" s="18"/>
    </row>
    <row r="213" ht="13.5" customHeight="1">
      <c r="A213" s="18"/>
      <c r="B213" s="19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20"/>
      <c r="AB213" s="18"/>
      <c r="AC213" s="18"/>
      <c r="AD213" s="18"/>
      <c r="AE213" s="18"/>
      <c r="AG213" s="18"/>
      <c r="AH213" s="18"/>
      <c r="AI213" s="18"/>
      <c r="AJ213" s="18"/>
    </row>
    <row r="214" ht="13.5" customHeight="1">
      <c r="A214" s="18"/>
      <c r="B214" s="19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20"/>
      <c r="AB214" s="18"/>
      <c r="AC214" s="18"/>
      <c r="AD214" s="18"/>
      <c r="AE214" s="18"/>
      <c r="AG214" s="18"/>
      <c r="AH214" s="18"/>
      <c r="AI214" s="18"/>
      <c r="AJ214" s="18"/>
    </row>
    <row r="215" ht="13.5" customHeight="1">
      <c r="A215" s="18"/>
      <c r="B215" s="19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20"/>
      <c r="AB215" s="18"/>
      <c r="AC215" s="18"/>
      <c r="AD215" s="18"/>
      <c r="AE215" s="18"/>
      <c r="AG215" s="18"/>
      <c r="AH215" s="18"/>
      <c r="AI215" s="18"/>
      <c r="AJ215" s="18"/>
    </row>
    <row r="216" ht="13.5" customHeight="1">
      <c r="A216" s="18"/>
      <c r="B216" s="19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20"/>
      <c r="AB216" s="18"/>
      <c r="AC216" s="18"/>
      <c r="AD216" s="18"/>
      <c r="AE216" s="18"/>
      <c r="AG216" s="18"/>
      <c r="AH216" s="18"/>
      <c r="AI216" s="18"/>
      <c r="AJ216" s="18"/>
    </row>
    <row r="217" ht="13.5" customHeight="1">
      <c r="A217" s="18"/>
      <c r="B217" s="19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20"/>
      <c r="AB217" s="18"/>
      <c r="AC217" s="18"/>
      <c r="AD217" s="18"/>
      <c r="AE217" s="18"/>
      <c r="AG217" s="18"/>
      <c r="AH217" s="18"/>
      <c r="AI217" s="18"/>
      <c r="AJ217" s="18"/>
    </row>
    <row r="218" ht="13.5" customHeight="1">
      <c r="A218" s="18"/>
      <c r="B218" s="19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20"/>
      <c r="AB218" s="18"/>
      <c r="AC218" s="18"/>
      <c r="AD218" s="18"/>
      <c r="AE218" s="18"/>
      <c r="AG218" s="18"/>
      <c r="AH218" s="18"/>
      <c r="AI218" s="18"/>
      <c r="AJ218" s="18"/>
    </row>
    <row r="219" ht="13.5" customHeight="1">
      <c r="A219" s="18"/>
      <c r="B219" s="19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20"/>
      <c r="AB219" s="18"/>
      <c r="AC219" s="18"/>
      <c r="AD219" s="18"/>
      <c r="AE219" s="18"/>
      <c r="AG219" s="18"/>
      <c r="AH219" s="18"/>
      <c r="AI219" s="18"/>
      <c r="AJ219" s="18"/>
    </row>
    <row r="220" ht="13.5" customHeight="1">
      <c r="A220" s="18"/>
      <c r="B220" s="19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20"/>
      <c r="AB220" s="18"/>
      <c r="AC220" s="18"/>
      <c r="AD220" s="18"/>
      <c r="AE220" s="18"/>
      <c r="AG220" s="18"/>
      <c r="AH220" s="18"/>
      <c r="AI220" s="18"/>
      <c r="AJ220" s="18"/>
    </row>
    <row r="221" ht="13.5" customHeight="1">
      <c r="A221" s="18"/>
      <c r="B221" s="19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20"/>
      <c r="AB221" s="18"/>
      <c r="AC221" s="18"/>
      <c r="AD221" s="18"/>
      <c r="AE221" s="18"/>
      <c r="AG221" s="18"/>
      <c r="AH221" s="18"/>
      <c r="AI221" s="18"/>
      <c r="AJ221" s="18"/>
    </row>
    <row r="222" ht="13.5" customHeight="1">
      <c r="A222" s="18"/>
      <c r="B222" s="19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20"/>
      <c r="AB222" s="18"/>
      <c r="AC222" s="18"/>
      <c r="AD222" s="18"/>
      <c r="AE222" s="18"/>
      <c r="AG222" s="18"/>
      <c r="AH222" s="18"/>
      <c r="AI222" s="18"/>
      <c r="AJ222" s="18"/>
    </row>
    <row r="223" ht="13.5" customHeight="1">
      <c r="A223" s="18"/>
      <c r="B223" s="19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20"/>
      <c r="AB223" s="18"/>
      <c r="AC223" s="18"/>
      <c r="AD223" s="18"/>
      <c r="AE223" s="18"/>
      <c r="AG223" s="18"/>
      <c r="AH223" s="18"/>
      <c r="AI223" s="18"/>
      <c r="AJ223" s="18"/>
    </row>
    <row r="224" ht="13.5" customHeight="1">
      <c r="A224" s="18"/>
      <c r="B224" s="19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20"/>
      <c r="AB224" s="18"/>
      <c r="AC224" s="18"/>
      <c r="AD224" s="18"/>
      <c r="AE224" s="18"/>
      <c r="AG224" s="18"/>
      <c r="AH224" s="18"/>
      <c r="AI224" s="18"/>
      <c r="AJ224" s="18"/>
    </row>
    <row r="225" ht="13.5" customHeight="1">
      <c r="A225" s="18"/>
      <c r="B225" s="19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20"/>
      <c r="AB225" s="18"/>
      <c r="AC225" s="18"/>
      <c r="AD225" s="18"/>
      <c r="AE225" s="18"/>
      <c r="AG225" s="18"/>
      <c r="AH225" s="18"/>
      <c r="AI225" s="18"/>
      <c r="AJ225" s="18"/>
    </row>
    <row r="226" ht="13.5" customHeight="1">
      <c r="A226" s="18"/>
      <c r="B226" s="19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20"/>
      <c r="AB226" s="18"/>
      <c r="AC226" s="18"/>
      <c r="AD226" s="18"/>
      <c r="AE226" s="18"/>
      <c r="AG226" s="18"/>
      <c r="AH226" s="18"/>
      <c r="AI226" s="18"/>
      <c r="AJ226" s="18"/>
    </row>
    <row r="227" ht="13.5" customHeight="1">
      <c r="A227" s="18"/>
      <c r="B227" s="19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20"/>
      <c r="AB227" s="18"/>
      <c r="AC227" s="18"/>
      <c r="AD227" s="18"/>
      <c r="AE227" s="18"/>
      <c r="AG227" s="18"/>
      <c r="AH227" s="18"/>
      <c r="AI227" s="18"/>
      <c r="AJ227" s="18"/>
    </row>
    <row r="228" ht="13.5" customHeight="1">
      <c r="A228" s="18"/>
      <c r="B228" s="19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20"/>
      <c r="AB228" s="18"/>
      <c r="AC228" s="18"/>
      <c r="AD228" s="18"/>
      <c r="AE228" s="18"/>
      <c r="AG228" s="18"/>
      <c r="AH228" s="18"/>
      <c r="AI228" s="18"/>
      <c r="AJ228" s="18"/>
    </row>
    <row r="229" ht="13.5" customHeight="1">
      <c r="A229" s="18"/>
      <c r="B229" s="19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20"/>
      <c r="AB229" s="18"/>
      <c r="AC229" s="18"/>
      <c r="AD229" s="18"/>
      <c r="AE229" s="18"/>
      <c r="AG229" s="18"/>
      <c r="AH229" s="18"/>
      <c r="AI229" s="18"/>
      <c r="AJ229" s="18"/>
    </row>
    <row r="230" ht="13.5" customHeight="1">
      <c r="A230" s="18"/>
      <c r="B230" s="19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20"/>
      <c r="AB230" s="18"/>
      <c r="AC230" s="18"/>
      <c r="AD230" s="18"/>
      <c r="AE230" s="18"/>
      <c r="AG230" s="18"/>
      <c r="AH230" s="18"/>
      <c r="AI230" s="18"/>
      <c r="AJ230" s="18"/>
    </row>
    <row r="231" ht="13.5" customHeight="1">
      <c r="A231" s="18"/>
      <c r="B231" s="19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20"/>
      <c r="AB231" s="18"/>
      <c r="AC231" s="18"/>
      <c r="AD231" s="18"/>
      <c r="AE231" s="18"/>
      <c r="AG231" s="18"/>
      <c r="AH231" s="18"/>
      <c r="AI231" s="18"/>
      <c r="AJ231" s="18"/>
    </row>
    <row r="232" ht="13.5" customHeight="1">
      <c r="A232" s="18"/>
      <c r="B232" s="19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20"/>
      <c r="AB232" s="18"/>
      <c r="AC232" s="18"/>
      <c r="AD232" s="18"/>
      <c r="AE232" s="18"/>
      <c r="AG232" s="18"/>
      <c r="AH232" s="18"/>
      <c r="AI232" s="18"/>
      <c r="AJ232" s="18"/>
    </row>
    <row r="233" ht="13.5" customHeight="1">
      <c r="A233" s="18"/>
      <c r="B233" s="19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20"/>
      <c r="AB233" s="18"/>
      <c r="AC233" s="18"/>
      <c r="AD233" s="18"/>
      <c r="AE233" s="18"/>
      <c r="AG233" s="18"/>
      <c r="AH233" s="18"/>
      <c r="AI233" s="18"/>
      <c r="AJ233" s="18"/>
    </row>
    <row r="234" ht="13.5" customHeight="1">
      <c r="A234" s="18"/>
      <c r="B234" s="19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20"/>
      <c r="AB234" s="18"/>
      <c r="AC234" s="18"/>
      <c r="AD234" s="18"/>
      <c r="AE234" s="18"/>
      <c r="AG234" s="18"/>
      <c r="AH234" s="18"/>
      <c r="AI234" s="18"/>
      <c r="AJ234" s="18"/>
    </row>
    <row r="235" ht="13.5" customHeight="1">
      <c r="A235" s="18"/>
      <c r="B235" s="19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20"/>
      <c r="AB235" s="18"/>
      <c r="AC235" s="18"/>
      <c r="AD235" s="18"/>
      <c r="AE235" s="18"/>
      <c r="AG235" s="18"/>
      <c r="AH235" s="18"/>
      <c r="AI235" s="18"/>
      <c r="AJ235" s="18"/>
    </row>
    <row r="236" ht="13.5" customHeight="1">
      <c r="A236" s="18"/>
      <c r="B236" s="19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20"/>
      <c r="AB236" s="18"/>
      <c r="AC236" s="18"/>
      <c r="AD236" s="18"/>
      <c r="AE236" s="18"/>
      <c r="AG236" s="18"/>
      <c r="AH236" s="18"/>
      <c r="AI236" s="18"/>
      <c r="AJ236" s="18"/>
    </row>
    <row r="237" ht="13.5" customHeight="1">
      <c r="A237" s="18"/>
      <c r="B237" s="19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20"/>
      <c r="AB237" s="18"/>
      <c r="AC237" s="18"/>
      <c r="AD237" s="18"/>
      <c r="AE237" s="18"/>
      <c r="AG237" s="18"/>
      <c r="AH237" s="18"/>
      <c r="AI237" s="18"/>
      <c r="AJ237" s="18"/>
    </row>
    <row r="238" ht="13.5" customHeight="1">
      <c r="A238" s="18"/>
      <c r="B238" s="19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20"/>
      <c r="AB238" s="18"/>
      <c r="AC238" s="18"/>
      <c r="AD238" s="18"/>
      <c r="AE238" s="18"/>
      <c r="AG238" s="18"/>
      <c r="AH238" s="18"/>
      <c r="AI238" s="18"/>
      <c r="AJ238" s="18"/>
    </row>
    <row r="239" ht="13.5" customHeight="1">
      <c r="A239" s="18"/>
      <c r="B239" s="19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20"/>
      <c r="AB239" s="18"/>
      <c r="AC239" s="18"/>
      <c r="AD239" s="18"/>
      <c r="AE239" s="18"/>
      <c r="AG239" s="18"/>
      <c r="AH239" s="18"/>
      <c r="AI239" s="18"/>
      <c r="AJ239" s="18"/>
    </row>
    <row r="240" ht="13.5" customHeight="1">
      <c r="A240" s="18"/>
      <c r="B240" s="19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20"/>
      <c r="AB240" s="18"/>
      <c r="AC240" s="18"/>
      <c r="AD240" s="18"/>
      <c r="AE240" s="18"/>
      <c r="AG240" s="18"/>
      <c r="AH240" s="18"/>
      <c r="AI240" s="18"/>
      <c r="AJ240" s="18"/>
    </row>
    <row r="241" ht="13.5" customHeight="1">
      <c r="A241" s="18"/>
      <c r="B241" s="19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20"/>
      <c r="AB241" s="18"/>
      <c r="AC241" s="18"/>
      <c r="AD241" s="18"/>
      <c r="AE241" s="18"/>
      <c r="AG241" s="18"/>
      <c r="AH241" s="18"/>
      <c r="AI241" s="18"/>
      <c r="AJ241" s="18"/>
    </row>
    <row r="242" ht="13.5" customHeight="1">
      <c r="A242" s="18"/>
      <c r="B242" s="19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20"/>
      <c r="AB242" s="18"/>
      <c r="AC242" s="18"/>
      <c r="AD242" s="18"/>
      <c r="AE242" s="18"/>
      <c r="AG242" s="18"/>
      <c r="AH242" s="18"/>
      <c r="AI242" s="18"/>
      <c r="AJ242" s="18"/>
    </row>
    <row r="243" ht="13.5" customHeight="1">
      <c r="A243" s="18"/>
      <c r="B243" s="19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20"/>
      <c r="AB243" s="18"/>
      <c r="AC243" s="18"/>
      <c r="AD243" s="18"/>
      <c r="AE243" s="18"/>
      <c r="AG243" s="18"/>
      <c r="AH243" s="18"/>
      <c r="AI243" s="18"/>
      <c r="AJ243" s="18"/>
    </row>
    <row r="244" ht="13.5" customHeight="1">
      <c r="A244" s="18"/>
      <c r="B244" s="19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20"/>
      <c r="AB244" s="18"/>
      <c r="AC244" s="18"/>
      <c r="AD244" s="18"/>
      <c r="AE244" s="18"/>
      <c r="AG244" s="18"/>
      <c r="AH244" s="18"/>
      <c r="AI244" s="18"/>
      <c r="AJ244" s="18"/>
    </row>
    <row r="245" ht="13.5" customHeight="1">
      <c r="A245" s="18"/>
      <c r="B245" s="19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20"/>
      <c r="AB245" s="18"/>
      <c r="AC245" s="18"/>
      <c r="AD245" s="18"/>
      <c r="AE245" s="18"/>
      <c r="AG245" s="18"/>
      <c r="AH245" s="18"/>
      <c r="AI245" s="18"/>
      <c r="AJ245" s="18"/>
    </row>
    <row r="246" ht="13.5" customHeight="1">
      <c r="A246" s="18"/>
      <c r="B246" s="19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20"/>
      <c r="AB246" s="18"/>
      <c r="AC246" s="18"/>
      <c r="AD246" s="18"/>
      <c r="AE246" s="18"/>
      <c r="AG246" s="18"/>
      <c r="AH246" s="18"/>
      <c r="AI246" s="18"/>
      <c r="AJ246" s="18"/>
    </row>
    <row r="247" ht="13.5" customHeight="1">
      <c r="A247" s="18"/>
      <c r="B247" s="19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20"/>
      <c r="AB247" s="18"/>
      <c r="AC247" s="18"/>
      <c r="AD247" s="18"/>
      <c r="AE247" s="18"/>
      <c r="AG247" s="18"/>
      <c r="AH247" s="18"/>
      <c r="AI247" s="18"/>
      <c r="AJ247" s="18"/>
    </row>
    <row r="248" ht="13.5" customHeight="1">
      <c r="A248" s="18"/>
      <c r="B248" s="19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20"/>
      <c r="AB248" s="18"/>
      <c r="AC248" s="18"/>
      <c r="AD248" s="18"/>
      <c r="AE248" s="18"/>
      <c r="AG248" s="18"/>
      <c r="AH248" s="18"/>
      <c r="AI248" s="18"/>
      <c r="AJ248" s="18"/>
    </row>
    <row r="249" ht="13.5" customHeight="1">
      <c r="A249" s="18"/>
      <c r="B249" s="19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20"/>
      <c r="AB249" s="18"/>
      <c r="AC249" s="18"/>
      <c r="AD249" s="18"/>
      <c r="AE249" s="18"/>
      <c r="AG249" s="18"/>
      <c r="AH249" s="18"/>
      <c r="AI249" s="18"/>
      <c r="AJ249" s="18"/>
    </row>
    <row r="250" ht="13.5" customHeight="1">
      <c r="A250" s="18"/>
      <c r="B250" s="19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20"/>
      <c r="AB250" s="18"/>
      <c r="AC250" s="18"/>
      <c r="AD250" s="18"/>
      <c r="AE250" s="18"/>
      <c r="AG250" s="18"/>
      <c r="AH250" s="18"/>
      <c r="AI250" s="18"/>
      <c r="AJ250" s="18"/>
    </row>
    <row r="251" ht="13.5" customHeight="1">
      <c r="A251" s="18"/>
      <c r="B251" s="19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20"/>
      <c r="AB251" s="18"/>
      <c r="AC251" s="18"/>
      <c r="AD251" s="18"/>
      <c r="AE251" s="18"/>
      <c r="AG251" s="18"/>
      <c r="AH251" s="18"/>
      <c r="AI251" s="18"/>
      <c r="AJ251" s="18"/>
    </row>
    <row r="252" ht="13.5" customHeight="1">
      <c r="A252" s="18"/>
      <c r="B252" s="19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20"/>
      <c r="AB252" s="18"/>
      <c r="AC252" s="18"/>
      <c r="AD252" s="18"/>
      <c r="AE252" s="18"/>
      <c r="AG252" s="18"/>
      <c r="AH252" s="18"/>
      <c r="AI252" s="18"/>
      <c r="AJ252" s="18"/>
    </row>
    <row r="253" ht="13.5" customHeight="1">
      <c r="A253" s="18"/>
      <c r="B253" s="19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20"/>
      <c r="AB253" s="18"/>
      <c r="AC253" s="18"/>
      <c r="AD253" s="18"/>
      <c r="AE253" s="18"/>
      <c r="AG253" s="18"/>
      <c r="AH253" s="18"/>
      <c r="AI253" s="18"/>
      <c r="AJ253" s="18"/>
    </row>
    <row r="254" ht="13.5" customHeight="1">
      <c r="A254" s="18"/>
      <c r="B254" s="19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20"/>
      <c r="AB254" s="18"/>
      <c r="AC254" s="18"/>
      <c r="AD254" s="18"/>
      <c r="AE254" s="18"/>
      <c r="AG254" s="18"/>
      <c r="AH254" s="18"/>
      <c r="AI254" s="18"/>
      <c r="AJ254" s="18"/>
    </row>
    <row r="255" ht="13.5" customHeight="1">
      <c r="A255" s="18"/>
      <c r="B255" s="19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20"/>
      <c r="AB255" s="18"/>
      <c r="AC255" s="18"/>
      <c r="AD255" s="18"/>
      <c r="AE255" s="18"/>
      <c r="AG255" s="18"/>
      <c r="AH255" s="18"/>
      <c r="AI255" s="18"/>
      <c r="AJ255" s="18"/>
    </row>
    <row r="256" ht="13.5" customHeight="1">
      <c r="A256" s="18"/>
      <c r="B256" s="19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20"/>
      <c r="AB256" s="18"/>
      <c r="AC256" s="18"/>
      <c r="AD256" s="18"/>
      <c r="AE256" s="18"/>
      <c r="AG256" s="18"/>
      <c r="AH256" s="18"/>
      <c r="AI256" s="18"/>
      <c r="AJ256" s="18"/>
    </row>
    <row r="257" ht="13.5" customHeight="1">
      <c r="A257" s="18"/>
      <c r="B257" s="19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20"/>
      <c r="AB257" s="18"/>
      <c r="AC257" s="18"/>
      <c r="AD257" s="18"/>
      <c r="AE257" s="18"/>
      <c r="AG257" s="18"/>
      <c r="AH257" s="18"/>
      <c r="AI257" s="18"/>
      <c r="AJ257" s="18"/>
    </row>
    <row r="258" ht="13.5" customHeight="1">
      <c r="A258" s="18"/>
      <c r="B258" s="19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20"/>
      <c r="AB258" s="18"/>
      <c r="AC258" s="18"/>
      <c r="AD258" s="18"/>
      <c r="AE258" s="18"/>
      <c r="AG258" s="18"/>
      <c r="AH258" s="18"/>
      <c r="AI258" s="18"/>
      <c r="AJ258" s="18"/>
    </row>
    <row r="259" ht="13.5" customHeight="1">
      <c r="A259" s="18"/>
      <c r="B259" s="19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20"/>
      <c r="AB259" s="18"/>
      <c r="AC259" s="18"/>
      <c r="AD259" s="18"/>
      <c r="AE259" s="18"/>
      <c r="AG259" s="18"/>
      <c r="AH259" s="18"/>
      <c r="AI259" s="18"/>
      <c r="AJ259" s="18"/>
    </row>
    <row r="260" ht="13.5" customHeight="1">
      <c r="A260" s="18"/>
      <c r="B260" s="19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20"/>
      <c r="AB260" s="18"/>
      <c r="AC260" s="18"/>
      <c r="AD260" s="18"/>
      <c r="AE260" s="18"/>
      <c r="AG260" s="18"/>
      <c r="AH260" s="18"/>
      <c r="AI260" s="18"/>
      <c r="AJ260" s="18"/>
    </row>
    <row r="261" ht="13.5" customHeight="1">
      <c r="A261" s="18"/>
      <c r="B261" s="19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20"/>
      <c r="AB261" s="18"/>
      <c r="AC261" s="18"/>
      <c r="AD261" s="18"/>
      <c r="AE261" s="18"/>
      <c r="AG261" s="18"/>
      <c r="AH261" s="18"/>
      <c r="AI261" s="18"/>
      <c r="AJ261" s="18"/>
    </row>
    <row r="262" ht="13.5" customHeight="1">
      <c r="A262" s="18"/>
      <c r="B262" s="19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20"/>
      <c r="AB262" s="18"/>
      <c r="AC262" s="18"/>
      <c r="AD262" s="18"/>
      <c r="AE262" s="18"/>
      <c r="AG262" s="18"/>
      <c r="AH262" s="18"/>
      <c r="AI262" s="18"/>
      <c r="AJ262" s="18"/>
    </row>
    <row r="263" ht="13.5" customHeight="1">
      <c r="A263" s="18"/>
      <c r="B263" s="19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20"/>
      <c r="AB263" s="18"/>
      <c r="AC263" s="18"/>
      <c r="AD263" s="18"/>
      <c r="AE263" s="18"/>
      <c r="AG263" s="18"/>
      <c r="AH263" s="18"/>
      <c r="AI263" s="18"/>
      <c r="AJ263" s="18"/>
    </row>
    <row r="264" ht="13.5" customHeight="1">
      <c r="A264" s="18"/>
      <c r="B264" s="19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20"/>
      <c r="AB264" s="18"/>
      <c r="AC264" s="18"/>
      <c r="AD264" s="18"/>
      <c r="AE264" s="18"/>
      <c r="AG264" s="18"/>
      <c r="AH264" s="18"/>
      <c r="AI264" s="18"/>
      <c r="AJ264" s="18"/>
    </row>
    <row r="265" ht="13.5" customHeight="1">
      <c r="A265" s="18"/>
      <c r="B265" s="19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20"/>
      <c r="AB265" s="18"/>
      <c r="AC265" s="18"/>
      <c r="AD265" s="18"/>
      <c r="AE265" s="18"/>
      <c r="AG265" s="18"/>
      <c r="AH265" s="18"/>
      <c r="AI265" s="18"/>
      <c r="AJ265" s="18"/>
    </row>
    <row r="266" ht="13.5" customHeight="1">
      <c r="A266" s="18"/>
      <c r="B266" s="19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20"/>
      <c r="AB266" s="18"/>
      <c r="AC266" s="18"/>
      <c r="AD266" s="18"/>
      <c r="AE266" s="18"/>
      <c r="AG266" s="18"/>
      <c r="AH266" s="18"/>
      <c r="AI266" s="18"/>
      <c r="AJ266" s="18"/>
    </row>
    <row r="267" ht="13.5" customHeight="1">
      <c r="A267" s="18"/>
      <c r="B267" s="19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20"/>
      <c r="AB267" s="18"/>
      <c r="AC267" s="18"/>
      <c r="AD267" s="18"/>
      <c r="AE267" s="18"/>
      <c r="AG267" s="18"/>
      <c r="AH267" s="18"/>
      <c r="AI267" s="18"/>
      <c r="AJ267" s="18"/>
    </row>
    <row r="268" ht="13.5" customHeight="1">
      <c r="A268" s="18"/>
      <c r="B268" s="19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20"/>
      <c r="AB268" s="18"/>
      <c r="AC268" s="18"/>
      <c r="AD268" s="18"/>
      <c r="AE268" s="18"/>
      <c r="AG268" s="18"/>
      <c r="AH268" s="18"/>
      <c r="AI268" s="18"/>
      <c r="AJ268" s="18"/>
    </row>
    <row r="269" ht="13.5" customHeight="1">
      <c r="A269" s="18"/>
      <c r="B269" s="19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20"/>
      <c r="AB269" s="18"/>
      <c r="AC269" s="18"/>
      <c r="AD269" s="18"/>
      <c r="AE269" s="18"/>
      <c r="AG269" s="18"/>
      <c r="AH269" s="18"/>
      <c r="AI269" s="18"/>
      <c r="AJ269" s="18"/>
    </row>
    <row r="270" ht="13.5" customHeight="1">
      <c r="A270" s="18"/>
      <c r="B270" s="19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20"/>
      <c r="AB270" s="18"/>
      <c r="AC270" s="18"/>
      <c r="AD270" s="18"/>
      <c r="AE270" s="18"/>
      <c r="AG270" s="18"/>
      <c r="AH270" s="18"/>
      <c r="AI270" s="18"/>
      <c r="AJ270" s="18"/>
    </row>
    <row r="271" ht="13.5" customHeight="1">
      <c r="A271" s="18"/>
      <c r="B271" s="19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20"/>
      <c r="AB271" s="18"/>
      <c r="AC271" s="18"/>
      <c r="AD271" s="18"/>
      <c r="AE271" s="18"/>
      <c r="AG271" s="18"/>
      <c r="AH271" s="18"/>
      <c r="AI271" s="18"/>
      <c r="AJ271" s="18"/>
    </row>
    <row r="272" ht="13.5" customHeight="1">
      <c r="A272" s="18"/>
      <c r="B272" s="19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20"/>
      <c r="AB272" s="18"/>
      <c r="AC272" s="18"/>
      <c r="AD272" s="18"/>
      <c r="AE272" s="18"/>
      <c r="AG272" s="18"/>
      <c r="AH272" s="18"/>
      <c r="AI272" s="18"/>
      <c r="AJ272" s="18"/>
    </row>
    <row r="273" ht="13.5" customHeight="1">
      <c r="A273" s="18"/>
      <c r="B273" s="19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20"/>
      <c r="AB273" s="18"/>
      <c r="AC273" s="18"/>
      <c r="AD273" s="18"/>
      <c r="AE273" s="18"/>
      <c r="AG273" s="18"/>
      <c r="AH273" s="18"/>
      <c r="AI273" s="18"/>
      <c r="AJ273" s="18"/>
    </row>
    <row r="274" ht="13.5" customHeight="1">
      <c r="A274" s="18"/>
      <c r="B274" s="19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20"/>
      <c r="AB274" s="18"/>
      <c r="AC274" s="18"/>
      <c r="AD274" s="18"/>
      <c r="AE274" s="18"/>
      <c r="AG274" s="18"/>
      <c r="AH274" s="18"/>
      <c r="AI274" s="18"/>
      <c r="AJ274" s="18"/>
    </row>
    <row r="275" ht="13.5" customHeight="1">
      <c r="A275" s="18"/>
      <c r="B275" s="19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20"/>
      <c r="AB275" s="18"/>
      <c r="AC275" s="18"/>
      <c r="AD275" s="18"/>
      <c r="AE275" s="18"/>
      <c r="AG275" s="18"/>
      <c r="AH275" s="18"/>
      <c r="AI275" s="18"/>
      <c r="AJ275" s="18"/>
    </row>
    <row r="276" ht="13.5" customHeight="1">
      <c r="A276" s="18"/>
      <c r="B276" s="19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20"/>
      <c r="AB276" s="18"/>
      <c r="AC276" s="18"/>
      <c r="AD276" s="18"/>
      <c r="AE276" s="18"/>
      <c r="AG276" s="18"/>
      <c r="AH276" s="18"/>
      <c r="AI276" s="18"/>
      <c r="AJ276" s="18"/>
    </row>
    <row r="277" ht="13.5" customHeight="1">
      <c r="A277" s="18"/>
      <c r="B277" s="19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20"/>
      <c r="AB277" s="18"/>
      <c r="AC277" s="18"/>
      <c r="AD277" s="18"/>
      <c r="AE277" s="18"/>
      <c r="AG277" s="18"/>
      <c r="AH277" s="18"/>
      <c r="AI277" s="18"/>
      <c r="AJ277" s="18"/>
    </row>
    <row r="278" ht="13.5" customHeight="1">
      <c r="A278" s="18"/>
      <c r="B278" s="19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20"/>
      <c r="AB278" s="18"/>
      <c r="AC278" s="18"/>
      <c r="AD278" s="18"/>
      <c r="AE278" s="18"/>
      <c r="AG278" s="18"/>
      <c r="AH278" s="18"/>
      <c r="AI278" s="18"/>
      <c r="AJ278" s="18"/>
    </row>
    <row r="279" ht="13.5" customHeight="1">
      <c r="A279" s="18"/>
      <c r="B279" s="19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20"/>
      <c r="AB279" s="18"/>
      <c r="AC279" s="18"/>
      <c r="AD279" s="18"/>
      <c r="AE279" s="18"/>
      <c r="AG279" s="18"/>
      <c r="AH279" s="18"/>
      <c r="AI279" s="18"/>
      <c r="AJ279" s="18"/>
    </row>
    <row r="280" ht="13.5" customHeight="1">
      <c r="A280" s="18"/>
      <c r="B280" s="19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20"/>
      <c r="AB280" s="18"/>
      <c r="AC280" s="18"/>
      <c r="AD280" s="18"/>
      <c r="AE280" s="18"/>
      <c r="AG280" s="18"/>
      <c r="AH280" s="18"/>
      <c r="AI280" s="18"/>
      <c r="AJ280" s="18"/>
    </row>
    <row r="281" ht="13.5" customHeight="1">
      <c r="A281" s="18"/>
      <c r="B281" s="19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20"/>
      <c r="AB281" s="18"/>
      <c r="AC281" s="18"/>
      <c r="AD281" s="18"/>
      <c r="AE281" s="18"/>
      <c r="AG281" s="18"/>
      <c r="AH281" s="18"/>
      <c r="AI281" s="18"/>
      <c r="AJ281" s="18"/>
    </row>
    <row r="282" ht="13.5" customHeight="1">
      <c r="A282" s="18"/>
      <c r="B282" s="19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20"/>
      <c r="AB282" s="18"/>
      <c r="AC282" s="18"/>
      <c r="AD282" s="18"/>
      <c r="AE282" s="18"/>
      <c r="AG282" s="18"/>
      <c r="AH282" s="18"/>
      <c r="AI282" s="18"/>
      <c r="AJ282" s="18"/>
    </row>
    <row r="283" ht="13.5" customHeight="1">
      <c r="A283" s="18"/>
      <c r="B283" s="19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20"/>
      <c r="AB283" s="18"/>
      <c r="AC283" s="18"/>
      <c r="AD283" s="18"/>
      <c r="AE283" s="18"/>
      <c r="AG283" s="18"/>
      <c r="AH283" s="18"/>
      <c r="AI283" s="18"/>
      <c r="AJ283" s="18"/>
    </row>
    <row r="284" ht="13.5" customHeight="1">
      <c r="A284" s="18"/>
      <c r="B284" s="19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20"/>
      <c r="AB284" s="18"/>
      <c r="AC284" s="18"/>
      <c r="AD284" s="18"/>
      <c r="AE284" s="18"/>
      <c r="AG284" s="18"/>
      <c r="AH284" s="18"/>
      <c r="AI284" s="18"/>
      <c r="AJ284" s="18"/>
    </row>
    <row r="285" ht="13.5" customHeight="1">
      <c r="A285" s="18"/>
      <c r="B285" s="19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20"/>
      <c r="AB285" s="18"/>
      <c r="AC285" s="18"/>
      <c r="AD285" s="18"/>
      <c r="AE285" s="18"/>
      <c r="AG285" s="18"/>
      <c r="AH285" s="18"/>
      <c r="AI285" s="18"/>
      <c r="AJ285" s="18"/>
    </row>
    <row r="286" ht="13.5" customHeight="1">
      <c r="A286" s="18"/>
      <c r="B286" s="19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20"/>
      <c r="AB286" s="18"/>
      <c r="AC286" s="18"/>
      <c r="AD286" s="18"/>
      <c r="AE286" s="18"/>
      <c r="AG286" s="18"/>
      <c r="AH286" s="18"/>
      <c r="AI286" s="18"/>
      <c r="AJ286" s="18"/>
    </row>
    <row r="287" ht="13.5" customHeight="1">
      <c r="A287" s="18"/>
      <c r="B287" s="19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20"/>
      <c r="AB287" s="18"/>
      <c r="AC287" s="18"/>
      <c r="AD287" s="18"/>
      <c r="AE287" s="18"/>
      <c r="AG287" s="18"/>
      <c r="AH287" s="18"/>
      <c r="AI287" s="18"/>
      <c r="AJ287" s="18"/>
    </row>
    <row r="288" ht="13.5" customHeight="1">
      <c r="A288" s="18"/>
      <c r="B288" s="19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20"/>
      <c r="AB288" s="18"/>
      <c r="AC288" s="18"/>
      <c r="AD288" s="18"/>
      <c r="AE288" s="18"/>
      <c r="AG288" s="18"/>
      <c r="AH288" s="18"/>
      <c r="AI288" s="18"/>
      <c r="AJ288" s="18"/>
    </row>
    <row r="289" ht="13.5" customHeight="1">
      <c r="A289" s="18"/>
      <c r="B289" s="19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20"/>
      <c r="AB289" s="18"/>
      <c r="AC289" s="18"/>
      <c r="AD289" s="18"/>
      <c r="AE289" s="18"/>
      <c r="AG289" s="18"/>
      <c r="AH289" s="18"/>
      <c r="AI289" s="18"/>
      <c r="AJ289" s="18"/>
    </row>
    <row r="290" ht="13.5" customHeight="1">
      <c r="A290" s="18"/>
      <c r="B290" s="19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20"/>
      <c r="AB290" s="18"/>
      <c r="AC290" s="18"/>
      <c r="AD290" s="18"/>
      <c r="AE290" s="18"/>
      <c r="AG290" s="18"/>
      <c r="AH290" s="18"/>
      <c r="AI290" s="18"/>
      <c r="AJ290" s="18"/>
    </row>
    <row r="291" ht="13.5" customHeight="1">
      <c r="A291" s="18"/>
      <c r="B291" s="19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20"/>
      <c r="AB291" s="18"/>
      <c r="AC291" s="18"/>
      <c r="AD291" s="18"/>
      <c r="AE291" s="18"/>
      <c r="AG291" s="18"/>
      <c r="AH291" s="18"/>
      <c r="AI291" s="18"/>
      <c r="AJ291" s="18"/>
    </row>
    <row r="292" ht="13.5" customHeight="1">
      <c r="A292" s="18"/>
      <c r="B292" s="19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20"/>
      <c r="AB292" s="18"/>
      <c r="AC292" s="18"/>
      <c r="AD292" s="18"/>
      <c r="AE292" s="18"/>
      <c r="AG292" s="18"/>
      <c r="AH292" s="18"/>
      <c r="AI292" s="18"/>
      <c r="AJ292" s="18"/>
    </row>
    <row r="293" ht="13.5" customHeight="1">
      <c r="A293" s="18"/>
      <c r="B293" s="19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20"/>
      <c r="AB293" s="18"/>
      <c r="AC293" s="18"/>
      <c r="AD293" s="18"/>
      <c r="AE293" s="18"/>
      <c r="AG293" s="18"/>
      <c r="AH293" s="18"/>
      <c r="AI293" s="18"/>
      <c r="AJ293" s="18"/>
    </row>
    <row r="294" ht="13.5" customHeight="1">
      <c r="A294" s="18"/>
      <c r="B294" s="19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20"/>
      <c r="AB294" s="18"/>
      <c r="AC294" s="18"/>
      <c r="AD294" s="18"/>
      <c r="AE294" s="18"/>
      <c r="AG294" s="18"/>
      <c r="AH294" s="18"/>
      <c r="AI294" s="18"/>
      <c r="AJ294" s="18"/>
    </row>
    <row r="295" ht="13.5" customHeight="1">
      <c r="A295" s="18"/>
      <c r="B295" s="19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20"/>
      <c r="AB295" s="18"/>
      <c r="AC295" s="18"/>
      <c r="AD295" s="18"/>
      <c r="AE295" s="18"/>
      <c r="AG295" s="18"/>
      <c r="AH295" s="18"/>
      <c r="AI295" s="18"/>
      <c r="AJ295" s="18"/>
    </row>
    <row r="296" ht="13.5" customHeight="1">
      <c r="A296" s="18"/>
      <c r="B296" s="19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20"/>
      <c r="AB296" s="18"/>
      <c r="AC296" s="18"/>
      <c r="AD296" s="18"/>
      <c r="AE296" s="18"/>
      <c r="AG296" s="18"/>
      <c r="AH296" s="18"/>
      <c r="AI296" s="18"/>
      <c r="AJ296" s="18"/>
    </row>
    <row r="297" ht="13.5" customHeight="1">
      <c r="A297" s="18"/>
      <c r="B297" s="19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20"/>
      <c r="AB297" s="18"/>
      <c r="AC297" s="18"/>
      <c r="AD297" s="18"/>
      <c r="AE297" s="18"/>
      <c r="AG297" s="18"/>
      <c r="AH297" s="18"/>
      <c r="AI297" s="18"/>
      <c r="AJ297" s="18"/>
    </row>
    <row r="298" ht="13.5" customHeight="1">
      <c r="A298" s="18"/>
      <c r="B298" s="19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20"/>
      <c r="AB298" s="18"/>
      <c r="AC298" s="18"/>
      <c r="AD298" s="18"/>
      <c r="AE298" s="18"/>
      <c r="AG298" s="18"/>
      <c r="AH298" s="18"/>
      <c r="AI298" s="18"/>
      <c r="AJ298" s="18"/>
    </row>
    <row r="299" ht="13.5" customHeight="1">
      <c r="A299" s="18"/>
      <c r="B299" s="19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20"/>
      <c r="AB299" s="18"/>
      <c r="AC299" s="18"/>
      <c r="AD299" s="18"/>
      <c r="AE299" s="18"/>
      <c r="AG299" s="18"/>
      <c r="AH299" s="18"/>
      <c r="AI299" s="18"/>
      <c r="AJ299" s="18"/>
    </row>
    <row r="300" ht="13.5" customHeight="1">
      <c r="A300" s="18"/>
      <c r="B300" s="19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20"/>
      <c r="AB300" s="18"/>
      <c r="AC300" s="18"/>
      <c r="AD300" s="18"/>
      <c r="AE300" s="18"/>
      <c r="AG300" s="18"/>
      <c r="AH300" s="18"/>
      <c r="AI300" s="18"/>
      <c r="AJ300" s="18"/>
    </row>
    <row r="301" ht="13.5" customHeight="1">
      <c r="A301" s="18"/>
      <c r="B301" s="19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20"/>
      <c r="AB301" s="18"/>
      <c r="AC301" s="18"/>
      <c r="AD301" s="18"/>
      <c r="AE301" s="18"/>
      <c r="AG301" s="18"/>
      <c r="AH301" s="18"/>
      <c r="AI301" s="18"/>
      <c r="AJ301" s="18"/>
    </row>
    <row r="302" ht="13.5" customHeight="1">
      <c r="A302" s="18"/>
      <c r="B302" s="19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20"/>
      <c r="AB302" s="18"/>
      <c r="AC302" s="18"/>
      <c r="AD302" s="18"/>
      <c r="AE302" s="18"/>
      <c r="AG302" s="18"/>
      <c r="AH302" s="18"/>
      <c r="AI302" s="18"/>
      <c r="AJ302" s="18"/>
    </row>
    <row r="303" ht="13.5" customHeight="1">
      <c r="A303" s="18"/>
      <c r="B303" s="19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20"/>
      <c r="AB303" s="18"/>
      <c r="AC303" s="18"/>
      <c r="AD303" s="18"/>
      <c r="AE303" s="18"/>
      <c r="AG303" s="18"/>
      <c r="AH303" s="18"/>
      <c r="AI303" s="18"/>
      <c r="AJ303" s="18"/>
    </row>
    <row r="304" ht="13.5" customHeight="1">
      <c r="A304" s="18"/>
      <c r="B304" s="19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20"/>
      <c r="AB304" s="18"/>
      <c r="AC304" s="18"/>
      <c r="AD304" s="18"/>
      <c r="AE304" s="18"/>
      <c r="AG304" s="18"/>
      <c r="AH304" s="18"/>
      <c r="AI304" s="18"/>
      <c r="AJ304" s="18"/>
    </row>
    <row r="305" ht="13.5" customHeight="1">
      <c r="A305" s="18"/>
      <c r="B305" s="19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20"/>
      <c r="AB305" s="18"/>
      <c r="AC305" s="18"/>
      <c r="AD305" s="18"/>
      <c r="AE305" s="18"/>
      <c r="AG305" s="18"/>
      <c r="AH305" s="18"/>
      <c r="AI305" s="18"/>
      <c r="AJ305" s="18"/>
    </row>
    <row r="306" ht="13.5" customHeight="1">
      <c r="A306" s="18"/>
      <c r="B306" s="19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20"/>
      <c r="AB306" s="18"/>
      <c r="AC306" s="18"/>
      <c r="AD306" s="18"/>
      <c r="AE306" s="18"/>
      <c r="AG306" s="18"/>
      <c r="AH306" s="18"/>
      <c r="AI306" s="18"/>
      <c r="AJ306" s="18"/>
    </row>
    <row r="307" ht="13.5" customHeight="1">
      <c r="A307" s="18"/>
      <c r="B307" s="19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20"/>
      <c r="AB307" s="18"/>
      <c r="AC307" s="18"/>
      <c r="AD307" s="18"/>
      <c r="AE307" s="18"/>
      <c r="AG307" s="18"/>
      <c r="AH307" s="18"/>
      <c r="AI307" s="18"/>
      <c r="AJ307" s="18"/>
    </row>
    <row r="308" ht="13.5" customHeight="1">
      <c r="A308" s="18"/>
      <c r="B308" s="19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20"/>
      <c r="AB308" s="18"/>
      <c r="AC308" s="18"/>
      <c r="AD308" s="18"/>
      <c r="AE308" s="18"/>
      <c r="AG308" s="18"/>
      <c r="AH308" s="18"/>
      <c r="AI308" s="18"/>
      <c r="AJ308" s="18"/>
    </row>
    <row r="309" ht="13.5" customHeight="1">
      <c r="A309" s="18"/>
      <c r="B309" s="19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20"/>
      <c r="AB309" s="18"/>
      <c r="AC309" s="18"/>
      <c r="AD309" s="18"/>
      <c r="AE309" s="18"/>
      <c r="AG309" s="18"/>
      <c r="AH309" s="18"/>
      <c r="AI309" s="18"/>
      <c r="AJ309" s="18"/>
    </row>
    <row r="310" ht="13.5" customHeight="1">
      <c r="A310" s="18"/>
      <c r="B310" s="19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20"/>
      <c r="AB310" s="18"/>
      <c r="AC310" s="18"/>
      <c r="AD310" s="18"/>
      <c r="AE310" s="18"/>
      <c r="AG310" s="18"/>
      <c r="AH310" s="18"/>
      <c r="AI310" s="18"/>
      <c r="AJ310" s="18"/>
    </row>
    <row r="311" ht="13.5" customHeight="1">
      <c r="A311" s="18"/>
      <c r="B311" s="19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20"/>
      <c r="AB311" s="18"/>
      <c r="AC311" s="18"/>
      <c r="AD311" s="18"/>
      <c r="AE311" s="18"/>
      <c r="AG311" s="18"/>
      <c r="AH311" s="18"/>
      <c r="AI311" s="18"/>
      <c r="AJ311" s="18"/>
    </row>
    <row r="312" ht="13.5" customHeight="1">
      <c r="A312" s="18"/>
      <c r="B312" s="19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20"/>
      <c r="AB312" s="18"/>
      <c r="AC312" s="18"/>
      <c r="AD312" s="18"/>
      <c r="AE312" s="18"/>
      <c r="AG312" s="18"/>
      <c r="AH312" s="18"/>
      <c r="AI312" s="18"/>
      <c r="AJ312" s="18"/>
    </row>
    <row r="313" ht="13.5" customHeight="1">
      <c r="A313" s="18"/>
      <c r="B313" s="19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20"/>
      <c r="AB313" s="18"/>
      <c r="AC313" s="18"/>
      <c r="AD313" s="18"/>
      <c r="AE313" s="18"/>
      <c r="AG313" s="18"/>
      <c r="AH313" s="18"/>
      <c r="AI313" s="18"/>
      <c r="AJ313" s="18"/>
    </row>
    <row r="314" ht="13.5" customHeight="1">
      <c r="A314" s="18"/>
      <c r="B314" s="19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20"/>
      <c r="AB314" s="18"/>
      <c r="AC314" s="18"/>
      <c r="AD314" s="18"/>
      <c r="AE314" s="18"/>
      <c r="AG314" s="18"/>
      <c r="AH314" s="18"/>
      <c r="AI314" s="18"/>
      <c r="AJ314" s="18"/>
    </row>
    <row r="315" ht="13.5" customHeight="1">
      <c r="A315" s="18"/>
      <c r="B315" s="19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20"/>
      <c r="AB315" s="18"/>
      <c r="AC315" s="18"/>
      <c r="AD315" s="18"/>
      <c r="AE315" s="18"/>
      <c r="AG315" s="18"/>
      <c r="AH315" s="18"/>
      <c r="AI315" s="18"/>
      <c r="AJ315" s="18"/>
    </row>
    <row r="316" ht="13.5" customHeight="1">
      <c r="A316" s="18"/>
      <c r="B316" s="19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20"/>
      <c r="AB316" s="18"/>
      <c r="AC316" s="18"/>
      <c r="AD316" s="18"/>
      <c r="AE316" s="18"/>
      <c r="AG316" s="18"/>
      <c r="AH316" s="18"/>
      <c r="AI316" s="18"/>
      <c r="AJ316" s="18"/>
    </row>
    <row r="317" ht="13.5" customHeight="1">
      <c r="A317" s="18"/>
      <c r="B317" s="19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20"/>
      <c r="AB317" s="18"/>
      <c r="AC317" s="18"/>
      <c r="AD317" s="18"/>
      <c r="AE317" s="18"/>
      <c r="AG317" s="18"/>
      <c r="AH317" s="18"/>
      <c r="AI317" s="18"/>
      <c r="AJ317" s="18"/>
    </row>
    <row r="318" ht="13.5" customHeight="1">
      <c r="A318" s="18"/>
      <c r="B318" s="19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20"/>
      <c r="AB318" s="18"/>
      <c r="AC318" s="18"/>
      <c r="AD318" s="18"/>
      <c r="AE318" s="18"/>
      <c r="AG318" s="18"/>
      <c r="AH318" s="18"/>
      <c r="AI318" s="18"/>
      <c r="AJ318" s="18"/>
    </row>
    <row r="319" ht="13.5" customHeight="1">
      <c r="A319" s="18"/>
      <c r="B319" s="19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20"/>
      <c r="AB319" s="18"/>
      <c r="AC319" s="18"/>
      <c r="AD319" s="18"/>
      <c r="AE319" s="18"/>
      <c r="AG319" s="18"/>
      <c r="AH319" s="18"/>
      <c r="AI319" s="18"/>
      <c r="AJ319" s="18"/>
    </row>
    <row r="320" ht="13.5" customHeight="1">
      <c r="A320" s="18"/>
      <c r="B320" s="19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20"/>
      <c r="AB320" s="18"/>
      <c r="AC320" s="18"/>
      <c r="AD320" s="18"/>
      <c r="AE320" s="18"/>
      <c r="AG320" s="18"/>
      <c r="AH320" s="18"/>
      <c r="AI320" s="18"/>
      <c r="AJ320" s="18"/>
    </row>
    <row r="321" ht="13.5" customHeight="1">
      <c r="A321" s="18"/>
      <c r="B321" s="19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20"/>
      <c r="AB321" s="18"/>
      <c r="AC321" s="18"/>
      <c r="AD321" s="18"/>
      <c r="AE321" s="18"/>
      <c r="AG321" s="18"/>
      <c r="AH321" s="18"/>
      <c r="AI321" s="18"/>
      <c r="AJ321" s="18"/>
    </row>
    <row r="322" ht="13.5" customHeight="1">
      <c r="A322" s="18"/>
      <c r="B322" s="19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20"/>
      <c r="AB322" s="18"/>
      <c r="AC322" s="18"/>
      <c r="AD322" s="18"/>
      <c r="AE322" s="18"/>
      <c r="AG322" s="18"/>
      <c r="AH322" s="18"/>
      <c r="AI322" s="18"/>
      <c r="AJ322" s="18"/>
    </row>
    <row r="323" ht="13.5" customHeight="1">
      <c r="A323" s="18"/>
      <c r="B323" s="19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20"/>
      <c r="AB323" s="18"/>
      <c r="AC323" s="18"/>
      <c r="AD323" s="18"/>
      <c r="AE323" s="18"/>
      <c r="AG323" s="18"/>
      <c r="AH323" s="18"/>
      <c r="AI323" s="18"/>
      <c r="AJ323" s="18"/>
    </row>
    <row r="324" ht="13.5" customHeight="1">
      <c r="A324" s="18"/>
      <c r="B324" s="19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20"/>
      <c r="AB324" s="18"/>
      <c r="AC324" s="18"/>
      <c r="AD324" s="18"/>
      <c r="AE324" s="18"/>
      <c r="AG324" s="18"/>
      <c r="AH324" s="18"/>
      <c r="AI324" s="18"/>
      <c r="AJ324" s="18"/>
    </row>
    <row r="325" ht="13.5" customHeight="1">
      <c r="A325" s="18"/>
      <c r="B325" s="19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20"/>
      <c r="AB325" s="18"/>
      <c r="AC325" s="18"/>
      <c r="AD325" s="18"/>
      <c r="AE325" s="18"/>
      <c r="AG325" s="18"/>
      <c r="AH325" s="18"/>
      <c r="AI325" s="18"/>
      <c r="AJ325" s="18"/>
    </row>
    <row r="326" ht="13.5" customHeight="1">
      <c r="A326" s="18"/>
      <c r="B326" s="19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20"/>
      <c r="AB326" s="18"/>
      <c r="AC326" s="18"/>
      <c r="AD326" s="18"/>
      <c r="AE326" s="18"/>
      <c r="AG326" s="18"/>
      <c r="AH326" s="18"/>
      <c r="AI326" s="18"/>
      <c r="AJ326" s="18"/>
    </row>
    <row r="327" ht="13.5" customHeight="1">
      <c r="A327" s="18"/>
      <c r="B327" s="19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20"/>
      <c r="AB327" s="18"/>
      <c r="AC327" s="18"/>
      <c r="AD327" s="18"/>
      <c r="AE327" s="18"/>
      <c r="AG327" s="18"/>
      <c r="AH327" s="18"/>
      <c r="AI327" s="18"/>
      <c r="AJ327" s="18"/>
    </row>
    <row r="328" ht="13.5" customHeight="1">
      <c r="A328" s="18"/>
      <c r="B328" s="19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20"/>
      <c r="AB328" s="18"/>
      <c r="AC328" s="18"/>
      <c r="AD328" s="18"/>
      <c r="AE328" s="18"/>
      <c r="AG328" s="18"/>
      <c r="AH328" s="18"/>
      <c r="AI328" s="18"/>
      <c r="AJ328" s="18"/>
    </row>
    <row r="329" ht="13.5" customHeight="1">
      <c r="A329" s="18"/>
      <c r="B329" s="19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20"/>
      <c r="AB329" s="18"/>
      <c r="AC329" s="18"/>
      <c r="AD329" s="18"/>
      <c r="AE329" s="18"/>
      <c r="AG329" s="18"/>
      <c r="AH329" s="18"/>
      <c r="AI329" s="18"/>
      <c r="AJ329" s="18"/>
    </row>
    <row r="330" ht="13.5" customHeight="1">
      <c r="A330" s="18"/>
      <c r="B330" s="19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20"/>
      <c r="AB330" s="18"/>
      <c r="AC330" s="18"/>
      <c r="AD330" s="18"/>
      <c r="AE330" s="18"/>
      <c r="AG330" s="18"/>
      <c r="AH330" s="18"/>
      <c r="AI330" s="18"/>
      <c r="AJ330" s="18"/>
    </row>
    <row r="331" ht="13.5" customHeight="1">
      <c r="A331" s="18"/>
      <c r="B331" s="19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20"/>
      <c r="AB331" s="18"/>
      <c r="AC331" s="18"/>
      <c r="AD331" s="18"/>
      <c r="AE331" s="18"/>
      <c r="AG331" s="18"/>
      <c r="AH331" s="18"/>
      <c r="AI331" s="18"/>
      <c r="AJ331" s="18"/>
    </row>
    <row r="332" ht="13.5" customHeight="1">
      <c r="A332" s="18"/>
      <c r="B332" s="19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20"/>
      <c r="AB332" s="18"/>
      <c r="AC332" s="18"/>
      <c r="AD332" s="18"/>
      <c r="AE332" s="18"/>
      <c r="AG332" s="18"/>
      <c r="AH332" s="18"/>
      <c r="AI332" s="18"/>
      <c r="AJ332" s="18"/>
    </row>
    <row r="333" ht="13.5" customHeight="1">
      <c r="A333" s="18"/>
      <c r="B333" s="19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20"/>
      <c r="AB333" s="18"/>
      <c r="AC333" s="18"/>
      <c r="AD333" s="18"/>
      <c r="AE333" s="18"/>
      <c r="AG333" s="18"/>
      <c r="AH333" s="18"/>
      <c r="AI333" s="18"/>
      <c r="AJ333" s="18"/>
    </row>
    <row r="334" ht="13.5" customHeight="1">
      <c r="A334" s="18"/>
      <c r="B334" s="19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20"/>
      <c r="AB334" s="18"/>
      <c r="AC334" s="18"/>
      <c r="AD334" s="18"/>
      <c r="AE334" s="18"/>
      <c r="AG334" s="18"/>
      <c r="AH334" s="18"/>
      <c r="AI334" s="18"/>
      <c r="AJ334" s="18"/>
    </row>
    <row r="335" ht="13.5" customHeight="1">
      <c r="A335" s="18"/>
      <c r="B335" s="19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20"/>
      <c r="AB335" s="18"/>
      <c r="AC335" s="18"/>
      <c r="AD335" s="18"/>
      <c r="AE335" s="18"/>
      <c r="AG335" s="18"/>
      <c r="AH335" s="18"/>
      <c r="AI335" s="18"/>
      <c r="AJ335" s="18"/>
    </row>
    <row r="336" ht="13.5" customHeight="1">
      <c r="A336" s="18"/>
      <c r="B336" s="19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20"/>
      <c r="AB336" s="18"/>
      <c r="AC336" s="18"/>
      <c r="AD336" s="18"/>
      <c r="AE336" s="18"/>
      <c r="AG336" s="18"/>
      <c r="AH336" s="18"/>
      <c r="AI336" s="18"/>
      <c r="AJ336" s="18"/>
    </row>
    <row r="337" ht="13.5" customHeight="1">
      <c r="A337" s="18"/>
      <c r="B337" s="19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20"/>
      <c r="AB337" s="18"/>
      <c r="AC337" s="18"/>
      <c r="AD337" s="18"/>
      <c r="AE337" s="18"/>
      <c r="AG337" s="18"/>
      <c r="AH337" s="18"/>
      <c r="AI337" s="18"/>
      <c r="AJ337" s="18"/>
    </row>
    <row r="338" ht="13.5" customHeight="1">
      <c r="A338" s="18"/>
      <c r="B338" s="19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20"/>
      <c r="AB338" s="18"/>
      <c r="AC338" s="18"/>
      <c r="AD338" s="18"/>
      <c r="AE338" s="18"/>
      <c r="AG338" s="18"/>
      <c r="AH338" s="18"/>
      <c r="AI338" s="18"/>
      <c r="AJ338" s="18"/>
    </row>
    <row r="339" ht="13.5" customHeight="1">
      <c r="A339" s="18"/>
      <c r="B339" s="19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20"/>
      <c r="AB339" s="18"/>
      <c r="AC339" s="18"/>
      <c r="AD339" s="18"/>
      <c r="AE339" s="18"/>
      <c r="AG339" s="18"/>
      <c r="AH339" s="18"/>
      <c r="AI339" s="18"/>
      <c r="AJ339" s="18"/>
    </row>
    <row r="340" ht="13.5" customHeight="1">
      <c r="A340" s="18"/>
      <c r="B340" s="19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20"/>
      <c r="AB340" s="18"/>
      <c r="AC340" s="18"/>
      <c r="AD340" s="18"/>
      <c r="AE340" s="18"/>
      <c r="AG340" s="18"/>
      <c r="AH340" s="18"/>
      <c r="AI340" s="18"/>
      <c r="AJ340" s="18"/>
    </row>
    <row r="341" ht="13.5" customHeight="1">
      <c r="A341" s="18"/>
      <c r="B341" s="19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20"/>
      <c r="AB341" s="18"/>
      <c r="AC341" s="18"/>
      <c r="AD341" s="18"/>
      <c r="AE341" s="18"/>
      <c r="AG341" s="18"/>
      <c r="AH341" s="18"/>
      <c r="AI341" s="18"/>
      <c r="AJ341" s="18"/>
    </row>
    <row r="342" ht="13.5" customHeight="1">
      <c r="A342" s="18"/>
      <c r="B342" s="19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20"/>
      <c r="AB342" s="18"/>
      <c r="AC342" s="18"/>
      <c r="AD342" s="18"/>
      <c r="AE342" s="18"/>
      <c r="AG342" s="18"/>
      <c r="AH342" s="18"/>
      <c r="AI342" s="18"/>
      <c r="AJ342" s="18"/>
    </row>
    <row r="343" ht="13.5" customHeight="1">
      <c r="A343" s="18"/>
      <c r="B343" s="19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20"/>
      <c r="AB343" s="18"/>
      <c r="AC343" s="18"/>
      <c r="AD343" s="18"/>
      <c r="AE343" s="18"/>
      <c r="AG343" s="18"/>
      <c r="AH343" s="18"/>
      <c r="AI343" s="18"/>
      <c r="AJ343" s="18"/>
    </row>
    <row r="344" ht="13.5" customHeight="1">
      <c r="A344" s="18"/>
      <c r="B344" s="19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20"/>
      <c r="AB344" s="18"/>
      <c r="AC344" s="18"/>
      <c r="AD344" s="18"/>
      <c r="AE344" s="18"/>
      <c r="AG344" s="18"/>
      <c r="AH344" s="18"/>
      <c r="AI344" s="18"/>
      <c r="AJ344" s="18"/>
    </row>
    <row r="345" ht="13.5" customHeight="1">
      <c r="A345" s="18"/>
      <c r="B345" s="19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20"/>
      <c r="AB345" s="18"/>
      <c r="AC345" s="18"/>
      <c r="AD345" s="18"/>
      <c r="AE345" s="18"/>
      <c r="AG345" s="18"/>
      <c r="AH345" s="18"/>
      <c r="AI345" s="18"/>
      <c r="AJ345" s="18"/>
    </row>
    <row r="346" ht="13.5" customHeight="1">
      <c r="A346" s="18"/>
      <c r="B346" s="19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20"/>
      <c r="AB346" s="18"/>
      <c r="AC346" s="18"/>
      <c r="AD346" s="18"/>
      <c r="AE346" s="18"/>
      <c r="AG346" s="18"/>
      <c r="AH346" s="18"/>
      <c r="AI346" s="18"/>
      <c r="AJ346" s="18"/>
    </row>
    <row r="347" ht="13.5" customHeight="1">
      <c r="A347" s="18"/>
      <c r="B347" s="19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20"/>
      <c r="AB347" s="18"/>
      <c r="AC347" s="18"/>
      <c r="AD347" s="18"/>
      <c r="AE347" s="18"/>
      <c r="AG347" s="18"/>
      <c r="AH347" s="18"/>
      <c r="AI347" s="18"/>
      <c r="AJ347" s="18"/>
    </row>
    <row r="348" ht="13.5" customHeight="1">
      <c r="A348" s="18"/>
      <c r="B348" s="19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20"/>
      <c r="AB348" s="18"/>
      <c r="AC348" s="18"/>
      <c r="AD348" s="18"/>
      <c r="AE348" s="18"/>
      <c r="AG348" s="18"/>
      <c r="AH348" s="18"/>
      <c r="AI348" s="18"/>
      <c r="AJ348" s="18"/>
    </row>
    <row r="349" ht="13.5" customHeight="1">
      <c r="A349" s="18"/>
      <c r="B349" s="19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20"/>
      <c r="AB349" s="18"/>
      <c r="AC349" s="18"/>
      <c r="AD349" s="18"/>
      <c r="AE349" s="18"/>
      <c r="AG349" s="18"/>
      <c r="AH349" s="18"/>
      <c r="AI349" s="18"/>
      <c r="AJ349" s="18"/>
    </row>
    <row r="350" ht="13.5" customHeight="1">
      <c r="A350" s="18"/>
      <c r="B350" s="19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20"/>
      <c r="AB350" s="18"/>
      <c r="AC350" s="18"/>
      <c r="AD350" s="18"/>
      <c r="AE350" s="18"/>
      <c r="AG350" s="18"/>
      <c r="AH350" s="18"/>
      <c r="AI350" s="18"/>
      <c r="AJ350" s="18"/>
    </row>
    <row r="351" ht="13.5" customHeight="1">
      <c r="A351" s="18"/>
      <c r="B351" s="19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20"/>
      <c r="AB351" s="18"/>
      <c r="AC351" s="18"/>
      <c r="AD351" s="18"/>
      <c r="AE351" s="18"/>
      <c r="AG351" s="18"/>
      <c r="AH351" s="18"/>
      <c r="AI351" s="18"/>
      <c r="AJ351" s="18"/>
    </row>
    <row r="352" ht="13.5" customHeight="1">
      <c r="A352" s="18"/>
      <c r="B352" s="19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20"/>
      <c r="AB352" s="18"/>
      <c r="AC352" s="18"/>
      <c r="AD352" s="18"/>
      <c r="AE352" s="18"/>
      <c r="AG352" s="18"/>
      <c r="AH352" s="18"/>
      <c r="AI352" s="18"/>
      <c r="AJ352" s="18"/>
    </row>
    <row r="353" ht="13.5" customHeight="1">
      <c r="A353" s="18"/>
      <c r="B353" s="19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20"/>
      <c r="AB353" s="18"/>
      <c r="AC353" s="18"/>
      <c r="AD353" s="18"/>
      <c r="AE353" s="18"/>
      <c r="AG353" s="18"/>
      <c r="AH353" s="18"/>
      <c r="AI353" s="18"/>
      <c r="AJ353" s="18"/>
    </row>
    <row r="354" ht="13.5" customHeight="1">
      <c r="A354" s="18"/>
      <c r="B354" s="19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20"/>
      <c r="AB354" s="18"/>
      <c r="AC354" s="18"/>
      <c r="AD354" s="18"/>
      <c r="AE354" s="18"/>
      <c r="AG354" s="18"/>
      <c r="AH354" s="18"/>
      <c r="AI354" s="18"/>
      <c r="AJ354" s="18"/>
    </row>
    <row r="355" ht="13.5" customHeight="1">
      <c r="A355" s="18"/>
      <c r="B355" s="19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20"/>
      <c r="AB355" s="18"/>
      <c r="AC355" s="18"/>
      <c r="AD355" s="18"/>
      <c r="AE355" s="18"/>
      <c r="AG355" s="18"/>
      <c r="AH355" s="18"/>
      <c r="AI355" s="18"/>
      <c r="AJ355" s="18"/>
    </row>
    <row r="356" ht="13.5" customHeight="1">
      <c r="A356" s="18"/>
      <c r="B356" s="19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20"/>
      <c r="AB356" s="18"/>
      <c r="AC356" s="18"/>
      <c r="AD356" s="18"/>
      <c r="AE356" s="18"/>
      <c r="AG356" s="18"/>
      <c r="AH356" s="18"/>
      <c r="AI356" s="18"/>
      <c r="AJ356" s="18"/>
    </row>
    <row r="357" ht="13.5" customHeight="1">
      <c r="A357" s="18"/>
      <c r="B357" s="19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20"/>
      <c r="AB357" s="18"/>
      <c r="AC357" s="18"/>
      <c r="AD357" s="18"/>
      <c r="AE357" s="18"/>
      <c r="AG357" s="18"/>
      <c r="AH357" s="18"/>
      <c r="AI357" s="18"/>
      <c r="AJ357" s="18"/>
    </row>
    <row r="358" ht="13.5" customHeight="1">
      <c r="A358" s="18"/>
      <c r="B358" s="19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20"/>
      <c r="AB358" s="18"/>
      <c r="AC358" s="18"/>
      <c r="AD358" s="18"/>
      <c r="AE358" s="18"/>
      <c r="AG358" s="18"/>
      <c r="AH358" s="18"/>
      <c r="AI358" s="18"/>
      <c r="AJ358" s="18"/>
    </row>
    <row r="359" ht="13.5" customHeight="1">
      <c r="A359" s="18"/>
      <c r="B359" s="19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20"/>
      <c r="AB359" s="18"/>
      <c r="AC359" s="18"/>
      <c r="AD359" s="18"/>
      <c r="AE359" s="18"/>
      <c r="AG359" s="18"/>
      <c r="AH359" s="18"/>
      <c r="AI359" s="18"/>
      <c r="AJ359" s="18"/>
    </row>
    <row r="360" ht="13.5" customHeight="1">
      <c r="A360" s="18"/>
      <c r="B360" s="19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20"/>
      <c r="AB360" s="18"/>
      <c r="AC360" s="18"/>
      <c r="AD360" s="18"/>
      <c r="AE360" s="18"/>
      <c r="AG360" s="18"/>
      <c r="AH360" s="18"/>
      <c r="AI360" s="18"/>
      <c r="AJ360" s="18"/>
    </row>
    <row r="361" ht="13.5" customHeight="1">
      <c r="A361" s="18"/>
      <c r="B361" s="19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20"/>
      <c r="AB361" s="18"/>
      <c r="AC361" s="18"/>
      <c r="AD361" s="18"/>
      <c r="AE361" s="18"/>
      <c r="AG361" s="18"/>
      <c r="AH361" s="18"/>
      <c r="AI361" s="18"/>
      <c r="AJ361" s="18"/>
    </row>
    <row r="362" ht="13.5" customHeight="1">
      <c r="A362" s="18"/>
      <c r="B362" s="19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20"/>
      <c r="AB362" s="18"/>
      <c r="AC362" s="18"/>
      <c r="AD362" s="18"/>
      <c r="AE362" s="18"/>
      <c r="AG362" s="18"/>
      <c r="AH362" s="18"/>
      <c r="AI362" s="18"/>
      <c r="AJ362" s="18"/>
    </row>
    <row r="363" ht="13.5" customHeight="1">
      <c r="A363" s="18"/>
      <c r="B363" s="19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20"/>
      <c r="AB363" s="18"/>
      <c r="AC363" s="18"/>
      <c r="AD363" s="18"/>
      <c r="AE363" s="18"/>
      <c r="AG363" s="18"/>
      <c r="AH363" s="18"/>
      <c r="AI363" s="18"/>
      <c r="AJ363" s="18"/>
    </row>
    <row r="364" ht="13.5" customHeight="1">
      <c r="A364" s="18"/>
      <c r="B364" s="19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20"/>
      <c r="AB364" s="18"/>
      <c r="AC364" s="18"/>
      <c r="AD364" s="18"/>
      <c r="AE364" s="18"/>
      <c r="AG364" s="18"/>
      <c r="AH364" s="18"/>
      <c r="AI364" s="18"/>
      <c r="AJ364" s="18"/>
    </row>
    <row r="365" ht="13.5" customHeight="1">
      <c r="A365" s="18"/>
      <c r="B365" s="19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20"/>
      <c r="AB365" s="18"/>
      <c r="AC365" s="18"/>
      <c r="AD365" s="18"/>
      <c r="AE365" s="18"/>
      <c r="AG365" s="18"/>
      <c r="AH365" s="18"/>
      <c r="AI365" s="18"/>
      <c r="AJ365" s="18"/>
    </row>
    <row r="366" ht="13.5" customHeight="1">
      <c r="A366" s="18"/>
      <c r="B366" s="19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20"/>
      <c r="AB366" s="18"/>
      <c r="AC366" s="18"/>
      <c r="AD366" s="18"/>
      <c r="AE366" s="18"/>
      <c r="AG366" s="18"/>
      <c r="AH366" s="18"/>
      <c r="AI366" s="18"/>
      <c r="AJ366" s="18"/>
    </row>
    <row r="367" ht="13.5" customHeight="1">
      <c r="A367" s="18"/>
      <c r="B367" s="19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20"/>
      <c r="AB367" s="18"/>
      <c r="AC367" s="18"/>
      <c r="AD367" s="18"/>
      <c r="AE367" s="18"/>
      <c r="AG367" s="18"/>
      <c r="AH367" s="18"/>
      <c r="AI367" s="18"/>
      <c r="AJ367" s="18"/>
    </row>
    <row r="368" ht="13.5" customHeight="1">
      <c r="A368" s="18"/>
      <c r="B368" s="19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20"/>
      <c r="AB368" s="18"/>
      <c r="AC368" s="18"/>
      <c r="AD368" s="18"/>
      <c r="AE368" s="18"/>
      <c r="AG368" s="18"/>
      <c r="AH368" s="18"/>
      <c r="AI368" s="18"/>
      <c r="AJ368" s="18"/>
    </row>
    <row r="369" ht="13.5" customHeight="1">
      <c r="A369" s="18"/>
      <c r="B369" s="19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20"/>
      <c r="AB369" s="18"/>
      <c r="AC369" s="18"/>
      <c r="AD369" s="18"/>
      <c r="AE369" s="18"/>
      <c r="AG369" s="18"/>
      <c r="AH369" s="18"/>
      <c r="AI369" s="18"/>
      <c r="AJ369" s="18"/>
    </row>
    <row r="370" ht="13.5" customHeight="1">
      <c r="A370" s="18"/>
      <c r="B370" s="19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20"/>
      <c r="AB370" s="18"/>
      <c r="AC370" s="18"/>
      <c r="AD370" s="18"/>
      <c r="AE370" s="18"/>
      <c r="AG370" s="18"/>
      <c r="AH370" s="18"/>
      <c r="AI370" s="18"/>
      <c r="AJ370" s="18"/>
    </row>
    <row r="371" ht="13.5" customHeight="1">
      <c r="A371" s="18"/>
      <c r="B371" s="19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20"/>
      <c r="AB371" s="18"/>
      <c r="AC371" s="18"/>
      <c r="AD371" s="18"/>
      <c r="AE371" s="18"/>
      <c r="AG371" s="18"/>
      <c r="AH371" s="18"/>
      <c r="AI371" s="18"/>
      <c r="AJ371" s="18"/>
    </row>
    <row r="372" ht="13.5" customHeight="1">
      <c r="A372" s="18"/>
      <c r="B372" s="19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20"/>
      <c r="AB372" s="18"/>
      <c r="AC372" s="18"/>
      <c r="AD372" s="18"/>
      <c r="AE372" s="18"/>
      <c r="AG372" s="18"/>
      <c r="AH372" s="18"/>
      <c r="AI372" s="18"/>
      <c r="AJ372" s="18"/>
    </row>
    <row r="373" ht="13.5" customHeight="1">
      <c r="A373" s="18"/>
      <c r="B373" s="19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20"/>
      <c r="AB373" s="18"/>
      <c r="AC373" s="18"/>
      <c r="AD373" s="18"/>
      <c r="AE373" s="18"/>
      <c r="AG373" s="18"/>
      <c r="AH373" s="18"/>
      <c r="AI373" s="18"/>
      <c r="AJ373" s="18"/>
    </row>
    <row r="374" ht="13.5" customHeight="1">
      <c r="A374" s="18"/>
      <c r="B374" s="19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20"/>
      <c r="AB374" s="18"/>
      <c r="AC374" s="18"/>
      <c r="AD374" s="18"/>
      <c r="AE374" s="18"/>
      <c r="AG374" s="18"/>
      <c r="AH374" s="18"/>
      <c r="AI374" s="18"/>
      <c r="AJ374" s="18"/>
    </row>
    <row r="375" ht="13.5" customHeight="1">
      <c r="A375" s="18"/>
      <c r="B375" s="19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20"/>
      <c r="AB375" s="18"/>
      <c r="AC375" s="18"/>
      <c r="AD375" s="18"/>
      <c r="AE375" s="18"/>
      <c r="AG375" s="18"/>
      <c r="AH375" s="18"/>
      <c r="AI375" s="18"/>
      <c r="AJ375" s="18"/>
    </row>
    <row r="376" ht="13.5" customHeight="1">
      <c r="A376" s="18"/>
      <c r="B376" s="19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20"/>
      <c r="AB376" s="18"/>
      <c r="AC376" s="18"/>
      <c r="AD376" s="18"/>
      <c r="AE376" s="18"/>
      <c r="AG376" s="18"/>
      <c r="AH376" s="18"/>
      <c r="AI376" s="18"/>
      <c r="AJ376" s="18"/>
    </row>
    <row r="377" ht="13.5" customHeight="1">
      <c r="A377" s="18"/>
      <c r="B377" s="19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20"/>
      <c r="AB377" s="18"/>
      <c r="AC377" s="18"/>
      <c r="AD377" s="18"/>
      <c r="AE377" s="18"/>
      <c r="AG377" s="18"/>
      <c r="AH377" s="18"/>
      <c r="AI377" s="18"/>
      <c r="AJ377" s="18"/>
    </row>
    <row r="378" ht="13.5" customHeight="1">
      <c r="A378" s="18"/>
      <c r="B378" s="19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20"/>
      <c r="AB378" s="18"/>
      <c r="AC378" s="18"/>
      <c r="AD378" s="18"/>
      <c r="AE378" s="18"/>
      <c r="AG378" s="18"/>
      <c r="AH378" s="18"/>
      <c r="AI378" s="18"/>
      <c r="AJ378" s="18"/>
    </row>
    <row r="379" ht="13.5" customHeight="1">
      <c r="A379" s="18"/>
      <c r="B379" s="19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20"/>
      <c r="AB379" s="18"/>
      <c r="AC379" s="18"/>
      <c r="AD379" s="18"/>
      <c r="AE379" s="18"/>
      <c r="AG379" s="18"/>
      <c r="AH379" s="18"/>
      <c r="AI379" s="18"/>
      <c r="AJ379" s="18"/>
    </row>
    <row r="380" ht="13.5" customHeight="1">
      <c r="A380" s="18"/>
      <c r="B380" s="19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20"/>
      <c r="AB380" s="18"/>
      <c r="AC380" s="18"/>
      <c r="AD380" s="18"/>
      <c r="AE380" s="18"/>
      <c r="AG380" s="18"/>
      <c r="AH380" s="18"/>
      <c r="AI380" s="18"/>
      <c r="AJ380" s="18"/>
    </row>
    <row r="381" ht="13.5" customHeight="1">
      <c r="A381" s="18"/>
      <c r="B381" s="19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20"/>
      <c r="AB381" s="18"/>
      <c r="AC381" s="18"/>
      <c r="AD381" s="18"/>
      <c r="AE381" s="18"/>
      <c r="AG381" s="18"/>
      <c r="AH381" s="18"/>
      <c r="AI381" s="18"/>
      <c r="AJ381" s="18"/>
    </row>
    <row r="382" ht="13.5" customHeight="1">
      <c r="A382" s="18"/>
      <c r="B382" s="19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20"/>
      <c r="AB382" s="18"/>
      <c r="AC382" s="18"/>
      <c r="AD382" s="18"/>
      <c r="AE382" s="18"/>
      <c r="AG382" s="18"/>
      <c r="AH382" s="18"/>
      <c r="AI382" s="18"/>
      <c r="AJ382" s="18"/>
    </row>
    <row r="383" ht="13.5" customHeight="1">
      <c r="A383" s="18"/>
      <c r="B383" s="19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20"/>
      <c r="AB383" s="18"/>
      <c r="AC383" s="18"/>
      <c r="AD383" s="18"/>
      <c r="AE383" s="18"/>
      <c r="AG383" s="18"/>
      <c r="AH383" s="18"/>
      <c r="AI383" s="18"/>
      <c r="AJ383" s="18"/>
    </row>
    <row r="384" ht="13.5" customHeight="1">
      <c r="A384" s="18"/>
      <c r="B384" s="19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20"/>
      <c r="AB384" s="18"/>
      <c r="AC384" s="18"/>
      <c r="AD384" s="18"/>
      <c r="AE384" s="18"/>
      <c r="AG384" s="18"/>
      <c r="AH384" s="18"/>
      <c r="AI384" s="18"/>
      <c r="AJ384" s="18"/>
    </row>
    <row r="385" ht="13.5" customHeight="1">
      <c r="A385" s="18"/>
      <c r="B385" s="19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20"/>
      <c r="AB385" s="18"/>
      <c r="AC385" s="18"/>
      <c r="AD385" s="18"/>
      <c r="AE385" s="18"/>
      <c r="AG385" s="18"/>
      <c r="AH385" s="18"/>
      <c r="AI385" s="18"/>
      <c r="AJ385" s="18"/>
    </row>
    <row r="386" ht="13.5" customHeight="1">
      <c r="A386" s="18"/>
      <c r="B386" s="19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20"/>
      <c r="AB386" s="18"/>
      <c r="AC386" s="18"/>
      <c r="AD386" s="18"/>
      <c r="AE386" s="18"/>
      <c r="AG386" s="18"/>
      <c r="AH386" s="18"/>
      <c r="AI386" s="18"/>
      <c r="AJ386" s="18"/>
    </row>
    <row r="387" ht="13.5" customHeight="1">
      <c r="A387" s="18"/>
      <c r="B387" s="19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20"/>
      <c r="AB387" s="18"/>
      <c r="AC387" s="18"/>
      <c r="AD387" s="18"/>
      <c r="AE387" s="18"/>
      <c r="AG387" s="18"/>
      <c r="AH387" s="18"/>
      <c r="AI387" s="18"/>
      <c r="AJ387" s="18"/>
    </row>
    <row r="388" ht="13.5" customHeight="1">
      <c r="A388" s="18"/>
      <c r="B388" s="19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20"/>
      <c r="AB388" s="18"/>
      <c r="AC388" s="18"/>
      <c r="AD388" s="18"/>
      <c r="AE388" s="18"/>
      <c r="AG388" s="18"/>
      <c r="AH388" s="18"/>
      <c r="AI388" s="18"/>
      <c r="AJ388" s="18"/>
    </row>
    <row r="389" ht="13.5" customHeight="1">
      <c r="A389" s="18"/>
      <c r="B389" s="19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20"/>
      <c r="AB389" s="18"/>
      <c r="AC389" s="18"/>
      <c r="AD389" s="18"/>
      <c r="AE389" s="18"/>
      <c r="AG389" s="18"/>
      <c r="AH389" s="18"/>
      <c r="AI389" s="18"/>
      <c r="AJ389" s="18"/>
    </row>
    <row r="390" ht="13.5" customHeight="1">
      <c r="A390" s="18"/>
      <c r="B390" s="19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20"/>
      <c r="AB390" s="18"/>
      <c r="AC390" s="18"/>
      <c r="AD390" s="18"/>
      <c r="AE390" s="18"/>
      <c r="AG390" s="18"/>
      <c r="AH390" s="18"/>
      <c r="AI390" s="18"/>
      <c r="AJ390" s="18"/>
    </row>
    <row r="391" ht="13.5" customHeight="1">
      <c r="A391" s="18"/>
      <c r="B391" s="19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20"/>
      <c r="AB391" s="18"/>
      <c r="AC391" s="18"/>
      <c r="AD391" s="18"/>
      <c r="AE391" s="18"/>
      <c r="AG391" s="18"/>
      <c r="AH391" s="18"/>
      <c r="AI391" s="18"/>
      <c r="AJ391" s="18"/>
    </row>
    <row r="392" ht="13.5" customHeight="1">
      <c r="A392" s="18"/>
      <c r="B392" s="19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20"/>
      <c r="AB392" s="18"/>
      <c r="AC392" s="18"/>
      <c r="AD392" s="18"/>
      <c r="AE392" s="18"/>
      <c r="AG392" s="18"/>
      <c r="AH392" s="18"/>
      <c r="AI392" s="18"/>
      <c r="AJ392" s="18"/>
    </row>
    <row r="393" ht="13.5" customHeight="1">
      <c r="A393" s="18"/>
      <c r="B393" s="19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20"/>
      <c r="AB393" s="18"/>
      <c r="AC393" s="18"/>
      <c r="AD393" s="18"/>
      <c r="AE393" s="18"/>
      <c r="AG393" s="18"/>
      <c r="AH393" s="18"/>
      <c r="AI393" s="18"/>
      <c r="AJ393" s="18"/>
    </row>
    <row r="394" ht="13.5" customHeight="1">
      <c r="A394" s="18"/>
      <c r="B394" s="19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20"/>
      <c r="AB394" s="18"/>
      <c r="AC394" s="18"/>
      <c r="AD394" s="18"/>
      <c r="AE394" s="18"/>
      <c r="AG394" s="18"/>
      <c r="AH394" s="18"/>
      <c r="AI394" s="18"/>
      <c r="AJ394" s="18"/>
    </row>
    <row r="395" ht="13.5" customHeight="1">
      <c r="A395" s="18"/>
      <c r="B395" s="19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20"/>
      <c r="AB395" s="18"/>
      <c r="AC395" s="18"/>
      <c r="AD395" s="18"/>
      <c r="AE395" s="18"/>
      <c r="AG395" s="18"/>
      <c r="AH395" s="18"/>
      <c r="AI395" s="18"/>
      <c r="AJ395" s="18"/>
    </row>
    <row r="396" ht="13.5" customHeight="1">
      <c r="A396" s="18"/>
      <c r="B396" s="19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20"/>
      <c r="AB396" s="18"/>
      <c r="AC396" s="18"/>
      <c r="AD396" s="18"/>
      <c r="AE396" s="18"/>
      <c r="AG396" s="18"/>
      <c r="AH396" s="18"/>
      <c r="AI396" s="18"/>
      <c r="AJ396" s="18"/>
    </row>
    <row r="397" ht="13.5" customHeight="1">
      <c r="A397" s="18"/>
      <c r="B397" s="19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20"/>
      <c r="AB397" s="18"/>
      <c r="AC397" s="18"/>
      <c r="AD397" s="18"/>
      <c r="AE397" s="18"/>
      <c r="AG397" s="18"/>
      <c r="AH397" s="18"/>
      <c r="AI397" s="18"/>
      <c r="AJ397" s="18"/>
    </row>
    <row r="398" ht="13.5" customHeight="1">
      <c r="A398" s="18"/>
      <c r="B398" s="19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20"/>
      <c r="AB398" s="18"/>
      <c r="AC398" s="18"/>
      <c r="AD398" s="18"/>
      <c r="AE398" s="18"/>
      <c r="AG398" s="18"/>
      <c r="AH398" s="18"/>
      <c r="AI398" s="18"/>
      <c r="AJ398" s="18"/>
    </row>
    <row r="399" ht="13.5" customHeight="1">
      <c r="A399" s="18"/>
      <c r="B399" s="19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20"/>
      <c r="AB399" s="18"/>
      <c r="AC399" s="18"/>
      <c r="AD399" s="18"/>
      <c r="AE399" s="18"/>
      <c r="AG399" s="18"/>
      <c r="AH399" s="18"/>
      <c r="AI399" s="18"/>
      <c r="AJ399" s="18"/>
    </row>
    <row r="400" ht="13.5" customHeight="1">
      <c r="A400" s="18"/>
      <c r="B400" s="19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20"/>
      <c r="AB400" s="18"/>
      <c r="AC400" s="18"/>
      <c r="AD400" s="18"/>
      <c r="AE400" s="18"/>
      <c r="AG400" s="18"/>
      <c r="AH400" s="18"/>
      <c r="AI400" s="18"/>
      <c r="AJ400" s="18"/>
    </row>
    <row r="401" ht="13.5" customHeight="1">
      <c r="A401" s="18"/>
      <c r="B401" s="19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20"/>
      <c r="AB401" s="18"/>
      <c r="AC401" s="18"/>
      <c r="AD401" s="18"/>
      <c r="AE401" s="18"/>
      <c r="AG401" s="18"/>
      <c r="AH401" s="18"/>
      <c r="AI401" s="18"/>
      <c r="AJ401" s="18"/>
    </row>
    <row r="402" ht="13.5" customHeight="1">
      <c r="A402" s="18"/>
      <c r="B402" s="19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20"/>
      <c r="AB402" s="18"/>
      <c r="AC402" s="18"/>
      <c r="AD402" s="18"/>
      <c r="AE402" s="18"/>
      <c r="AG402" s="18"/>
      <c r="AH402" s="18"/>
      <c r="AI402" s="18"/>
      <c r="AJ402" s="18"/>
    </row>
    <row r="403" ht="13.5" customHeight="1">
      <c r="A403" s="18"/>
      <c r="B403" s="19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20"/>
      <c r="AB403" s="18"/>
      <c r="AC403" s="18"/>
      <c r="AD403" s="18"/>
      <c r="AE403" s="18"/>
      <c r="AG403" s="18"/>
      <c r="AH403" s="18"/>
      <c r="AI403" s="18"/>
      <c r="AJ403" s="18"/>
    </row>
    <row r="404" ht="13.5" customHeight="1">
      <c r="A404" s="18"/>
      <c r="B404" s="19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20"/>
      <c r="AB404" s="18"/>
      <c r="AC404" s="18"/>
      <c r="AD404" s="18"/>
      <c r="AE404" s="18"/>
      <c r="AG404" s="18"/>
      <c r="AH404" s="18"/>
      <c r="AI404" s="18"/>
      <c r="AJ404" s="18"/>
    </row>
    <row r="405" ht="13.5" customHeight="1">
      <c r="A405" s="18"/>
      <c r="B405" s="19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20"/>
      <c r="AB405" s="18"/>
      <c r="AC405" s="18"/>
      <c r="AD405" s="18"/>
      <c r="AE405" s="18"/>
      <c r="AG405" s="18"/>
      <c r="AH405" s="18"/>
      <c r="AI405" s="18"/>
      <c r="AJ405" s="18"/>
    </row>
    <row r="406" ht="13.5" customHeight="1">
      <c r="A406" s="18"/>
      <c r="B406" s="19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20"/>
      <c r="AB406" s="18"/>
      <c r="AC406" s="18"/>
      <c r="AD406" s="18"/>
      <c r="AE406" s="18"/>
      <c r="AG406" s="18"/>
      <c r="AH406" s="18"/>
      <c r="AI406" s="18"/>
      <c r="AJ406" s="18"/>
    </row>
    <row r="407" ht="13.5" customHeight="1">
      <c r="A407" s="18"/>
      <c r="B407" s="19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20"/>
      <c r="AB407" s="18"/>
      <c r="AC407" s="18"/>
      <c r="AD407" s="18"/>
      <c r="AE407" s="18"/>
      <c r="AG407" s="18"/>
      <c r="AH407" s="18"/>
      <c r="AI407" s="18"/>
      <c r="AJ407" s="18"/>
    </row>
    <row r="408" ht="13.5" customHeight="1">
      <c r="A408" s="18"/>
      <c r="B408" s="19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20"/>
      <c r="AB408" s="18"/>
      <c r="AC408" s="18"/>
      <c r="AD408" s="18"/>
      <c r="AE408" s="18"/>
      <c r="AG408" s="18"/>
      <c r="AH408" s="18"/>
      <c r="AI408" s="18"/>
      <c r="AJ408" s="18"/>
    </row>
    <row r="409" ht="13.5" customHeight="1">
      <c r="A409" s="18"/>
      <c r="B409" s="19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20"/>
      <c r="AB409" s="18"/>
      <c r="AC409" s="18"/>
      <c r="AD409" s="18"/>
      <c r="AE409" s="18"/>
      <c r="AG409" s="18"/>
      <c r="AH409" s="18"/>
      <c r="AI409" s="18"/>
      <c r="AJ409" s="18"/>
    </row>
    <row r="410" ht="13.5" customHeight="1">
      <c r="A410" s="18"/>
      <c r="B410" s="19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20"/>
      <c r="AB410" s="18"/>
      <c r="AC410" s="18"/>
      <c r="AD410" s="18"/>
      <c r="AE410" s="18"/>
      <c r="AG410" s="18"/>
      <c r="AH410" s="18"/>
      <c r="AI410" s="18"/>
      <c r="AJ410" s="18"/>
    </row>
    <row r="411" ht="13.5" customHeight="1">
      <c r="A411" s="18"/>
      <c r="B411" s="19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20"/>
      <c r="AB411" s="18"/>
      <c r="AC411" s="18"/>
      <c r="AD411" s="18"/>
      <c r="AE411" s="18"/>
      <c r="AG411" s="18"/>
      <c r="AH411" s="18"/>
      <c r="AI411" s="18"/>
      <c r="AJ411" s="18"/>
    </row>
    <row r="412" ht="13.5" customHeight="1">
      <c r="A412" s="18"/>
      <c r="B412" s="19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20"/>
      <c r="AB412" s="18"/>
      <c r="AC412" s="18"/>
      <c r="AD412" s="18"/>
      <c r="AE412" s="18"/>
      <c r="AG412" s="18"/>
      <c r="AH412" s="18"/>
      <c r="AI412" s="18"/>
      <c r="AJ412" s="18"/>
    </row>
    <row r="413" ht="13.5" customHeight="1">
      <c r="A413" s="18"/>
      <c r="B413" s="19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20"/>
      <c r="AB413" s="18"/>
      <c r="AC413" s="18"/>
      <c r="AD413" s="18"/>
      <c r="AE413" s="18"/>
      <c r="AG413" s="18"/>
      <c r="AH413" s="18"/>
      <c r="AI413" s="18"/>
      <c r="AJ413" s="18"/>
    </row>
    <row r="414" ht="13.5" customHeight="1">
      <c r="A414" s="18"/>
      <c r="B414" s="19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20"/>
      <c r="AB414" s="18"/>
      <c r="AC414" s="18"/>
      <c r="AD414" s="18"/>
      <c r="AE414" s="18"/>
      <c r="AG414" s="18"/>
      <c r="AH414" s="18"/>
      <c r="AI414" s="18"/>
      <c r="AJ414" s="18"/>
    </row>
    <row r="415" ht="13.5" customHeight="1">
      <c r="A415" s="18"/>
      <c r="B415" s="19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20"/>
      <c r="AB415" s="18"/>
      <c r="AC415" s="18"/>
      <c r="AD415" s="18"/>
      <c r="AE415" s="18"/>
      <c r="AG415" s="18"/>
      <c r="AH415" s="18"/>
      <c r="AI415" s="18"/>
      <c r="AJ415" s="18"/>
    </row>
    <row r="416" ht="13.5" customHeight="1">
      <c r="A416" s="18"/>
      <c r="B416" s="19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20"/>
      <c r="AB416" s="18"/>
      <c r="AC416" s="18"/>
      <c r="AD416" s="18"/>
      <c r="AE416" s="18"/>
      <c r="AG416" s="18"/>
      <c r="AH416" s="18"/>
      <c r="AI416" s="18"/>
      <c r="AJ416" s="18"/>
    </row>
    <row r="417" ht="13.5" customHeight="1">
      <c r="A417" s="18"/>
      <c r="B417" s="19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20"/>
      <c r="AB417" s="18"/>
      <c r="AC417" s="18"/>
      <c r="AD417" s="18"/>
      <c r="AE417" s="18"/>
      <c r="AG417" s="18"/>
      <c r="AH417" s="18"/>
      <c r="AI417" s="18"/>
      <c r="AJ417" s="18"/>
    </row>
    <row r="418" ht="13.5" customHeight="1">
      <c r="A418" s="18"/>
      <c r="B418" s="19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20"/>
      <c r="AB418" s="18"/>
      <c r="AC418" s="18"/>
      <c r="AD418" s="18"/>
      <c r="AE418" s="18"/>
      <c r="AG418" s="18"/>
      <c r="AH418" s="18"/>
      <c r="AI418" s="18"/>
      <c r="AJ418" s="18"/>
    </row>
    <row r="419" ht="13.5" customHeight="1">
      <c r="A419" s="18"/>
      <c r="B419" s="19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20"/>
      <c r="AB419" s="18"/>
      <c r="AC419" s="18"/>
      <c r="AD419" s="18"/>
      <c r="AE419" s="18"/>
      <c r="AG419" s="18"/>
      <c r="AH419" s="18"/>
      <c r="AI419" s="18"/>
      <c r="AJ419" s="18"/>
    </row>
    <row r="420" ht="13.5" customHeight="1">
      <c r="A420" s="18"/>
      <c r="B420" s="19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20"/>
      <c r="AB420" s="18"/>
      <c r="AC420" s="18"/>
      <c r="AD420" s="18"/>
      <c r="AE420" s="18"/>
      <c r="AG420" s="18"/>
      <c r="AH420" s="18"/>
      <c r="AI420" s="18"/>
      <c r="AJ420" s="18"/>
    </row>
    <row r="421" ht="13.5" customHeight="1">
      <c r="A421" s="18"/>
      <c r="B421" s="19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20"/>
      <c r="AB421" s="18"/>
      <c r="AC421" s="18"/>
      <c r="AD421" s="18"/>
      <c r="AE421" s="18"/>
      <c r="AG421" s="18"/>
      <c r="AH421" s="18"/>
      <c r="AI421" s="18"/>
      <c r="AJ421" s="18"/>
    </row>
    <row r="422" ht="13.5" customHeight="1">
      <c r="A422" s="18"/>
      <c r="B422" s="19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20"/>
      <c r="AB422" s="18"/>
      <c r="AC422" s="18"/>
      <c r="AD422" s="18"/>
      <c r="AE422" s="18"/>
      <c r="AG422" s="18"/>
      <c r="AH422" s="18"/>
      <c r="AI422" s="18"/>
      <c r="AJ422" s="18"/>
    </row>
    <row r="423" ht="13.5" customHeight="1">
      <c r="A423" s="18"/>
      <c r="B423" s="19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20"/>
      <c r="AB423" s="18"/>
      <c r="AC423" s="18"/>
      <c r="AD423" s="18"/>
      <c r="AE423" s="18"/>
      <c r="AG423" s="18"/>
      <c r="AH423" s="18"/>
      <c r="AI423" s="18"/>
      <c r="AJ423" s="18"/>
    </row>
    <row r="424" ht="13.5" customHeight="1">
      <c r="A424" s="18"/>
      <c r="B424" s="19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20"/>
      <c r="AB424" s="18"/>
      <c r="AC424" s="18"/>
      <c r="AD424" s="18"/>
      <c r="AE424" s="18"/>
      <c r="AG424" s="18"/>
      <c r="AH424" s="18"/>
      <c r="AI424" s="18"/>
      <c r="AJ424" s="18"/>
    </row>
    <row r="425" ht="13.5" customHeight="1">
      <c r="A425" s="18"/>
      <c r="B425" s="19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20"/>
      <c r="AB425" s="18"/>
      <c r="AC425" s="18"/>
      <c r="AD425" s="18"/>
      <c r="AE425" s="18"/>
      <c r="AG425" s="18"/>
      <c r="AH425" s="18"/>
      <c r="AI425" s="18"/>
      <c r="AJ425" s="18"/>
    </row>
    <row r="426" ht="13.5" customHeight="1">
      <c r="A426" s="18"/>
      <c r="B426" s="19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20"/>
      <c r="AB426" s="18"/>
      <c r="AC426" s="18"/>
      <c r="AD426" s="18"/>
      <c r="AE426" s="18"/>
      <c r="AG426" s="18"/>
      <c r="AH426" s="18"/>
      <c r="AI426" s="18"/>
      <c r="AJ426" s="18"/>
    </row>
    <row r="427" ht="13.5" customHeight="1">
      <c r="A427" s="18"/>
      <c r="B427" s="19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20"/>
      <c r="AB427" s="18"/>
      <c r="AC427" s="18"/>
      <c r="AD427" s="18"/>
      <c r="AE427" s="18"/>
      <c r="AG427" s="18"/>
      <c r="AH427" s="18"/>
      <c r="AI427" s="18"/>
      <c r="AJ427" s="18"/>
    </row>
    <row r="428" ht="13.5" customHeight="1">
      <c r="A428" s="18"/>
      <c r="B428" s="19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20"/>
      <c r="AB428" s="18"/>
      <c r="AC428" s="18"/>
      <c r="AD428" s="18"/>
      <c r="AE428" s="18"/>
      <c r="AG428" s="18"/>
      <c r="AH428" s="18"/>
      <c r="AI428" s="18"/>
      <c r="AJ428" s="18"/>
    </row>
    <row r="429" ht="13.5" customHeight="1">
      <c r="A429" s="18"/>
      <c r="B429" s="19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20"/>
      <c r="AB429" s="18"/>
      <c r="AC429" s="18"/>
      <c r="AD429" s="18"/>
      <c r="AE429" s="18"/>
      <c r="AG429" s="18"/>
      <c r="AH429" s="18"/>
      <c r="AI429" s="18"/>
      <c r="AJ429" s="18"/>
    </row>
    <row r="430" ht="13.5" customHeight="1">
      <c r="A430" s="18"/>
      <c r="B430" s="19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20"/>
      <c r="AB430" s="18"/>
      <c r="AC430" s="18"/>
      <c r="AD430" s="18"/>
      <c r="AE430" s="18"/>
      <c r="AG430" s="18"/>
      <c r="AH430" s="18"/>
      <c r="AI430" s="18"/>
      <c r="AJ430" s="18"/>
    </row>
    <row r="431" ht="13.5" customHeight="1">
      <c r="A431" s="18"/>
      <c r="B431" s="19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20"/>
      <c r="AB431" s="18"/>
      <c r="AC431" s="18"/>
      <c r="AD431" s="18"/>
      <c r="AE431" s="18"/>
      <c r="AG431" s="18"/>
      <c r="AH431" s="18"/>
      <c r="AI431" s="18"/>
      <c r="AJ431" s="18"/>
    </row>
    <row r="432" ht="13.5" customHeight="1">
      <c r="A432" s="18"/>
      <c r="B432" s="19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20"/>
      <c r="AB432" s="18"/>
      <c r="AC432" s="18"/>
      <c r="AD432" s="18"/>
      <c r="AE432" s="18"/>
      <c r="AG432" s="18"/>
      <c r="AH432" s="18"/>
      <c r="AI432" s="18"/>
      <c r="AJ432" s="18"/>
    </row>
    <row r="433" ht="13.5" customHeight="1">
      <c r="A433" s="18"/>
      <c r="B433" s="19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20"/>
      <c r="AB433" s="18"/>
      <c r="AC433" s="18"/>
      <c r="AD433" s="18"/>
      <c r="AE433" s="18"/>
      <c r="AG433" s="18"/>
      <c r="AH433" s="18"/>
      <c r="AI433" s="18"/>
      <c r="AJ433" s="18"/>
    </row>
    <row r="434" ht="13.5" customHeight="1">
      <c r="A434" s="18"/>
      <c r="B434" s="19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20"/>
      <c r="AB434" s="18"/>
      <c r="AC434" s="18"/>
      <c r="AD434" s="18"/>
      <c r="AE434" s="18"/>
      <c r="AG434" s="18"/>
      <c r="AH434" s="18"/>
      <c r="AI434" s="18"/>
      <c r="AJ434" s="18"/>
    </row>
    <row r="435" ht="13.5" customHeight="1">
      <c r="A435" s="18"/>
      <c r="B435" s="19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20"/>
      <c r="AB435" s="18"/>
      <c r="AC435" s="18"/>
      <c r="AD435" s="18"/>
      <c r="AE435" s="18"/>
      <c r="AG435" s="18"/>
      <c r="AH435" s="18"/>
      <c r="AI435" s="18"/>
      <c r="AJ435" s="18"/>
    </row>
    <row r="436" ht="13.5" customHeight="1">
      <c r="A436" s="18"/>
      <c r="B436" s="19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20"/>
      <c r="AB436" s="18"/>
      <c r="AC436" s="18"/>
      <c r="AD436" s="18"/>
      <c r="AE436" s="18"/>
      <c r="AG436" s="18"/>
      <c r="AH436" s="18"/>
      <c r="AI436" s="18"/>
      <c r="AJ436" s="18"/>
    </row>
    <row r="437" ht="13.5" customHeight="1">
      <c r="A437" s="18"/>
      <c r="B437" s="19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20"/>
      <c r="AB437" s="18"/>
      <c r="AC437" s="18"/>
      <c r="AD437" s="18"/>
      <c r="AE437" s="18"/>
      <c r="AG437" s="18"/>
      <c r="AH437" s="18"/>
      <c r="AI437" s="18"/>
      <c r="AJ437" s="18"/>
    </row>
    <row r="438" ht="13.5" customHeight="1">
      <c r="A438" s="18"/>
      <c r="B438" s="19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20"/>
      <c r="AB438" s="18"/>
      <c r="AC438" s="18"/>
      <c r="AD438" s="18"/>
      <c r="AE438" s="18"/>
      <c r="AG438" s="18"/>
      <c r="AH438" s="18"/>
      <c r="AI438" s="18"/>
      <c r="AJ438" s="18"/>
    </row>
    <row r="439" ht="13.5" customHeight="1">
      <c r="A439" s="18"/>
      <c r="B439" s="19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20"/>
      <c r="AB439" s="18"/>
      <c r="AC439" s="18"/>
      <c r="AD439" s="18"/>
      <c r="AE439" s="18"/>
      <c r="AG439" s="18"/>
      <c r="AH439" s="18"/>
      <c r="AI439" s="18"/>
      <c r="AJ439" s="18"/>
    </row>
    <row r="440" ht="13.5" customHeight="1">
      <c r="A440" s="18"/>
      <c r="B440" s="19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20"/>
      <c r="AB440" s="18"/>
      <c r="AC440" s="18"/>
      <c r="AD440" s="18"/>
      <c r="AE440" s="18"/>
      <c r="AG440" s="18"/>
      <c r="AH440" s="18"/>
      <c r="AI440" s="18"/>
      <c r="AJ440" s="18"/>
    </row>
    <row r="441" ht="13.5" customHeight="1">
      <c r="A441" s="18"/>
      <c r="B441" s="19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20"/>
      <c r="AB441" s="18"/>
      <c r="AC441" s="18"/>
      <c r="AD441" s="18"/>
      <c r="AE441" s="18"/>
      <c r="AG441" s="18"/>
      <c r="AH441" s="18"/>
      <c r="AI441" s="18"/>
      <c r="AJ441" s="18"/>
    </row>
    <row r="442" ht="13.5" customHeight="1">
      <c r="A442" s="18"/>
      <c r="B442" s="19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20"/>
      <c r="AB442" s="18"/>
      <c r="AC442" s="18"/>
      <c r="AD442" s="18"/>
      <c r="AE442" s="18"/>
      <c r="AG442" s="18"/>
      <c r="AH442" s="18"/>
      <c r="AI442" s="18"/>
      <c r="AJ442" s="18"/>
    </row>
    <row r="443" ht="13.5" customHeight="1">
      <c r="A443" s="18"/>
      <c r="B443" s="19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20"/>
      <c r="AB443" s="18"/>
      <c r="AC443" s="18"/>
      <c r="AD443" s="18"/>
      <c r="AE443" s="18"/>
      <c r="AG443" s="18"/>
      <c r="AH443" s="18"/>
      <c r="AI443" s="18"/>
      <c r="AJ443" s="18"/>
    </row>
    <row r="444" ht="13.5" customHeight="1">
      <c r="A444" s="18"/>
      <c r="B444" s="19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20"/>
      <c r="AB444" s="18"/>
      <c r="AC444" s="18"/>
      <c r="AD444" s="18"/>
      <c r="AE444" s="18"/>
      <c r="AG444" s="18"/>
      <c r="AH444" s="18"/>
      <c r="AI444" s="18"/>
      <c r="AJ444" s="18"/>
    </row>
    <row r="445" ht="13.5" customHeight="1">
      <c r="A445" s="18"/>
      <c r="B445" s="19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20"/>
      <c r="AB445" s="18"/>
      <c r="AC445" s="18"/>
      <c r="AD445" s="18"/>
      <c r="AE445" s="18"/>
      <c r="AG445" s="18"/>
      <c r="AH445" s="18"/>
      <c r="AI445" s="18"/>
      <c r="AJ445" s="18"/>
    </row>
    <row r="446" ht="13.5" customHeight="1">
      <c r="A446" s="18"/>
      <c r="B446" s="19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20"/>
      <c r="AB446" s="18"/>
      <c r="AC446" s="18"/>
      <c r="AD446" s="18"/>
      <c r="AE446" s="18"/>
      <c r="AG446" s="18"/>
      <c r="AH446" s="18"/>
      <c r="AI446" s="18"/>
      <c r="AJ446" s="18"/>
    </row>
    <row r="447" ht="13.5" customHeight="1">
      <c r="A447" s="18"/>
      <c r="B447" s="19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20"/>
      <c r="AB447" s="18"/>
      <c r="AC447" s="18"/>
      <c r="AD447" s="18"/>
      <c r="AE447" s="18"/>
      <c r="AG447" s="18"/>
      <c r="AH447" s="18"/>
      <c r="AI447" s="18"/>
      <c r="AJ447" s="18"/>
    </row>
    <row r="448" ht="13.5" customHeight="1">
      <c r="A448" s="18"/>
      <c r="B448" s="19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20"/>
      <c r="AB448" s="18"/>
      <c r="AC448" s="18"/>
      <c r="AD448" s="18"/>
      <c r="AE448" s="18"/>
      <c r="AG448" s="18"/>
      <c r="AH448" s="18"/>
      <c r="AI448" s="18"/>
      <c r="AJ448" s="18"/>
    </row>
    <row r="449" ht="13.5" customHeight="1">
      <c r="A449" s="18"/>
      <c r="B449" s="19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20"/>
      <c r="AB449" s="18"/>
      <c r="AC449" s="18"/>
      <c r="AD449" s="18"/>
      <c r="AE449" s="18"/>
      <c r="AG449" s="18"/>
      <c r="AH449" s="18"/>
      <c r="AI449" s="18"/>
      <c r="AJ449" s="18"/>
    </row>
    <row r="450" ht="13.5" customHeight="1">
      <c r="A450" s="18"/>
      <c r="B450" s="19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20"/>
      <c r="AB450" s="18"/>
      <c r="AC450" s="18"/>
      <c r="AD450" s="18"/>
      <c r="AE450" s="18"/>
      <c r="AG450" s="18"/>
      <c r="AH450" s="18"/>
      <c r="AI450" s="18"/>
      <c r="AJ450" s="18"/>
    </row>
    <row r="451" ht="13.5" customHeight="1">
      <c r="A451" s="18"/>
      <c r="B451" s="19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20"/>
      <c r="AB451" s="18"/>
      <c r="AC451" s="18"/>
      <c r="AD451" s="18"/>
      <c r="AE451" s="18"/>
      <c r="AG451" s="18"/>
      <c r="AH451" s="18"/>
      <c r="AI451" s="18"/>
      <c r="AJ451" s="18"/>
    </row>
    <row r="452" ht="13.5" customHeight="1">
      <c r="A452" s="18"/>
      <c r="B452" s="19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20"/>
      <c r="AB452" s="18"/>
      <c r="AC452" s="18"/>
      <c r="AD452" s="18"/>
      <c r="AE452" s="18"/>
      <c r="AG452" s="18"/>
      <c r="AH452" s="18"/>
      <c r="AI452" s="18"/>
      <c r="AJ452" s="18"/>
    </row>
    <row r="453" ht="13.5" customHeight="1">
      <c r="A453" s="18"/>
      <c r="B453" s="19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20"/>
      <c r="AB453" s="18"/>
      <c r="AC453" s="18"/>
      <c r="AD453" s="18"/>
      <c r="AE453" s="18"/>
      <c r="AG453" s="18"/>
      <c r="AH453" s="18"/>
      <c r="AI453" s="18"/>
      <c r="AJ453" s="18"/>
    </row>
    <row r="454" ht="13.5" customHeight="1">
      <c r="A454" s="18"/>
      <c r="B454" s="19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20"/>
      <c r="AB454" s="18"/>
      <c r="AC454" s="18"/>
      <c r="AD454" s="18"/>
      <c r="AE454" s="18"/>
      <c r="AG454" s="18"/>
      <c r="AH454" s="18"/>
      <c r="AI454" s="18"/>
      <c r="AJ454" s="18"/>
    </row>
    <row r="455" ht="13.5" customHeight="1">
      <c r="A455" s="18"/>
      <c r="B455" s="19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20"/>
      <c r="AB455" s="18"/>
      <c r="AC455" s="18"/>
      <c r="AD455" s="18"/>
      <c r="AE455" s="18"/>
      <c r="AG455" s="18"/>
      <c r="AH455" s="18"/>
      <c r="AI455" s="18"/>
      <c r="AJ455" s="18"/>
    </row>
    <row r="456" ht="13.5" customHeight="1">
      <c r="A456" s="18"/>
      <c r="B456" s="19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20"/>
      <c r="AB456" s="18"/>
      <c r="AC456" s="18"/>
      <c r="AD456" s="18"/>
      <c r="AE456" s="18"/>
      <c r="AG456" s="18"/>
      <c r="AH456" s="18"/>
      <c r="AI456" s="18"/>
      <c r="AJ456" s="18"/>
    </row>
    <row r="457" ht="13.5" customHeight="1">
      <c r="A457" s="18"/>
      <c r="B457" s="19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20"/>
      <c r="AB457" s="18"/>
      <c r="AC457" s="18"/>
      <c r="AD457" s="18"/>
      <c r="AE457" s="18"/>
      <c r="AG457" s="18"/>
      <c r="AH457" s="18"/>
      <c r="AI457" s="18"/>
      <c r="AJ457" s="18"/>
    </row>
    <row r="458" ht="13.5" customHeight="1">
      <c r="A458" s="18"/>
      <c r="B458" s="19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20"/>
      <c r="AB458" s="18"/>
      <c r="AC458" s="18"/>
      <c r="AD458" s="18"/>
      <c r="AE458" s="18"/>
      <c r="AG458" s="18"/>
      <c r="AH458" s="18"/>
      <c r="AI458" s="18"/>
      <c r="AJ458" s="18"/>
    </row>
    <row r="459" ht="13.5" customHeight="1">
      <c r="A459" s="18"/>
      <c r="B459" s="19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20"/>
      <c r="AB459" s="18"/>
      <c r="AC459" s="18"/>
      <c r="AD459" s="18"/>
      <c r="AE459" s="18"/>
      <c r="AG459" s="18"/>
      <c r="AH459" s="18"/>
      <c r="AI459" s="18"/>
      <c r="AJ459" s="18"/>
    </row>
    <row r="460" ht="13.5" customHeight="1">
      <c r="A460" s="18"/>
      <c r="B460" s="19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20"/>
      <c r="AB460" s="18"/>
      <c r="AC460" s="18"/>
      <c r="AD460" s="18"/>
      <c r="AE460" s="18"/>
      <c r="AG460" s="18"/>
      <c r="AH460" s="18"/>
      <c r="AI460" s="18"/>
      <c r="AJ460" s="18"/>
    </row>
    <row r="461" ht="13.5" customHeight="1">
      <c r="A461" s="18"/>
      <c r="B461" s="19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20"/>
      <c r="AB461" s="18"/>
      <c r="AC461" s="18"/>
      <c r="AD461" s="18"/>
      <c r="AE461" s="18"/>
      <c r="AG461" s="18"/>
      <c r="AH461" s="18"/>
      <c r="AI461" s="18"/>
      <c r="AJ461" s="18"/>
    </row>
    <row r="462" ht="13.5" customHeight="1">
      <c r="A462" s="18"/>
      <c r="B462" s="19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20"/>
      <c r="AB462" s="18"/>
      <c r="AC462" s="18"/>
      <c r="AD462" s="18"/>
      <c r="AE462" s="18"/>
      <c r="AG462" s="18"/>
      <c r="AH462" s="18"/>
      <c r="AI462" s="18"/>
      <c r="AJ462" s="18"/>
    </row>
    <row r="463" ht="13.5" customHeight="1">
      <c r="A463" s="18"/>
      <c r="B463" s="19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20"/>
      <c r="AB463" s="18"/>
      <c r="AC463" s="18"/>
      <c r="AD463" s="18"/>
      <c r="AE463" s="18"/>
      <c r="AG463" s="18"/>
      <c r="AH463" s="18"/>
      <c r="AI463" s="18"/>
      <c r="AJ463" s="18"/>
    </row>
    <row r="464" ht="13.5" customHeight="1">
      <c r="A464" s="18"/>
      <c r="B464" s="19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20"/>
      <c r="AB464" s="18"/>
      <c r="AC464" s="18"/>
      <c r="AD464" s="18"/>
      <c r="AE464" s="18"/>
      <c r="AG464" s="18"/>
      <c r="AH464" s="18"/>
      <c r="AI464" s="18"/>
      <c r="AJ464" s="18"/>
    </row>
    <row r="465" ht="13.5" customHeight="1">
      <c r="A465" s="18"/>
      <c r="B465" s="19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20"/>
      <c r="AB465" s="18"/>
      <c r="AC465" s="18"/>
      <c r="AD465" s="18"/>
      <c r="AE465" s="18"/>
      <c r="AG465" s="18"/>
      <c r="AH465" s="18"/>
      <c r="AI465" s="18"/>
      <c r="AJ465" s="18"/>
    </row>
    <row r="466" ht="13.5" customHeight="1">
      <c r="A466" s="18"/>
      <c r="B466" s="19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20"/>
      <c r="AB466" s="18"/>
      <c r="AC466" s="18"/>
      <c r="AD466" s="18"/>
      <c r="AE466" s="18"/>
      <c r="AG466" s="18"/>
      <c r="AH466" s="18"/>
      <c r="AI466" s="18"/>
      <c r="AJ466" s="18"/>
    </row>
    <row r="467" ht="13.5" customHeight="1">
      <c r="A467" s="18"/>
      <c r="B467" s="19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20"/>
      <c r="AB467" s="18"/>
      <c r="AC467" s="18"/>
      <c r="AD467" s="18"/>
      <c r="AE467" s="18"/>
      <c r="AG467" s="18"/>
      <c r="AH467" s="18"/>
      <c r="AI467" s="18"/>
      <c r="AJ467" s="18"/>
    </row>
    <row r="468" ht="13.5" customHeight="1">
      <c r="A468" s="18"/>
      <c r="B468" s="19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20"/>
      <c r="AB468" s="18"/>
      <c r="AC468" s="18"/>
      <c r="AD468" s="18"/>
      <c r="AE468" s="18"/>
      <c r="AG468" s="18"/>
      <c r="AH468" s="18"/>
      <c r="AI468" s="18"/>
      <c r="AJ468" s="18"/>
    </row>
    <row r="469" ht="13.5" customHeight="1">
      <c r="A469" s="18"/>
      <c r="B469" s="19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20"/>
      <c r="AB469" s="18"/>
      <c r="AC469" s="18"/>
      <c r="AD469" s="18"/>
      <c r="AE469" s="18"/>
      <c r="AG469" s="18"/>
      <c r="AH469" s="18"/>
      <c r="AI469" s="18"/>
      <c r="AJ469" s="18"/>
    </row>
    <row r="470" ht="13.5" customHeight="1">
      <c r="A470" s="18"/>
      <c r="B470" s="19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20"/>
      <c r="AB470" s="18"/>
      <c r="AC470" s="18"/>
      <c r="AD470" s="18"/>
      <c r="AE470" s="18"/>
      <c r="AG470" s="18"/>
      <c r="AH470" s="18"/>
      <c r="AI470" s="18"/>
      <c r="AJ470" s="18"/>
    </row>
    <row r="471" ht="13.5" customHeight="1">
      <c r="A471" s="18"/>
      <c r="B471" s="19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20"/>
      <c r="AB471" s="18"/>
      <c r="AC471" s="18"/>
      <c r="AD471" s="18"/>
      <c r="AE471" s="18"/>
      <c r="AG471" s="18"/>
      <c r="AH471" s="18"/>
      <c r="AI471" s="18"/>
      <c r="AJ471" s="18"/>
    </row>
    <row r="472" ht="13.5" customHeight="1">
      <c r="A472" s="18"/>
      <c r="B472" s="19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20"/>
      <c r="AB472" s="18"/>
      <c r="AC472" s="18"/>
      <c r="AD472" s="18"/>
      <c r="AE472" s="18"/>
      <c r="AG472" s="18"/>
      <c r="AH472" s="18"/>
      <c r="AI472" s="18"/>
      <c r="AJ472" s="18"/>
    </row>
    <row r="473" ht="13.5" customHeight="1">
      <c r="A473" s="18"/>
      <c r="B473" s="19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20"/>
      <c r="AB473" s="18"/>
      <c r="AC473" s="18"/>
      <c r="AD473" s="18"/>
      <c r="AE473" s="18"/>
      <c r="AG473" s="18"/>
      <c r="AH473" s="18"/>
      <c r="AI473" s="18"/>
      <c r="AJ473" s="18"/>
    </row>
    <row r="474" ht="13.5" customHeight="1">
      <c r="A474" s="18"/>
      <c r="B474" s="19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20"/>
      <c r="AB474" s="18"/>
      <c r="AC474" s="18"/>
      <c r="AD474" s="18"/>
      <c r="AE474" s="18"/>
      <c r="AG474" s="18"/>
      <c r="AH474" s="18"/>
      <c r="AI474" s="18"/>
      <c r="AJ474" s="18"/>
    </row>
    <row r="475" ht="13.5" customHeight="1">
      <c r="A475" s="18"/>
      <c r="B475" s="19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20"/>
      <c r="AB475" s="18"/>
      <c r="AC475" s="18"/>
      <c r="AD475" s="18"/>
      <c r="AE475" s="18"/>
      <c r="AG475" s="18"/>
      <c r="AH475" s="18"/>
      <c r="AI475" s="18"/>
      <c r="AJ475" s="18"/>
    </row>
    <row r="476" ht="13.5" customHeight="1">
      <c r="A476" s="18"/>
      <c r="B476" s="19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20"/>
      <c r="AB476" s="18"/>
      <c r="AC476" s="18"/>
      <c r="AD476" s="18"/>
      <c r="AE476" s="18"/>
      <c r="AG476" s="18"/>
      <c r="AH476" s="18"/>
      <c r="AI476" s="18"/>
      <c r="AJ476" s="18"/>
    </row>
    <row r="477" ht="13.5" customHeight="1">
      <c r="A477" s="18"/>
      <c r="B477" s="19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20"/>
      <c r="AB477" s="18"/>
      <c r="AC477" s="18"/>
      <c r="AD477" s="18"/>
      <c r="AE477" s="18"/>
      <c r="AG477" s="18"/>
      <c r="AH477" s="18"/>
      <c r="AI477" s="18"/>
      <c r="AJ477" s="18"/>
    </row>
    <row r="478" ht="13.5" customHeight="1">
      <c r="A478" s="18"/>
      <c r="B478" s="19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20"/>
      <c r="AB478" s="18"/>
      <c r="AC478" s="18"/>
      <c r="AD478" s="18"/>
      <c r="AE478" s="18"/>
      <c r="AG478" s="18"/>
      <c r="AH478" s="18"/>
      <c r="AI478" s="18"/>
      <c r="AJ478" s="18"/>
    </row>
    <row r="479" ht="13.5" customHeight="1">
      <c r="A479" s="18"/>
      <c r="B479" s="19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20"/>
      <c r="AB479" s="18"/>
      <c r="AC479" s="18"/>
      <c r="AD479" s="18"/>
      <c r="AE479" s="18"/>
      <c r="AG479" s="18"/>
      <c r="AH479" s="18"/>
      <c r="AI479" s="18"/>
      <c r="AJ479" s="18"/>
    </row>
    <row r="480" ht="13.5" customHeight="1">
      <c r="A480" s="18"/>
      <c r="B480" s="19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20"/>
      <c r="AB480" s="18"/>
      <c r="AC480" s="18"/>
      <c r="AD480" s="18"/>
      <c r="AE480" s="18"/>
      <c r="AG480" s="18"/>
      <c r="AH480" s="18"/>
      <c r="AI480" s="18"/>
      <c r="AJ480" s="18"/>
    </row>
    <row r="481" ht="13.5" customHeight="1">
      <c r="A481" s="18"/>
      <c r="B481" s="19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20"/>
      <c r="AB481" s="18"/>
      <c r="AC481" s="18"/>
      <c r="AD481" s="18"/>
      <c r="AE481" s="18"/>
      <c r="AG481" s="18"/>
      <c r="AH481" s="18"/>
      <c r="AI481" s="18"/>
      <c r="AJ481" s="18"/>
    </row>
    <row r="482" ht="13.5" customHeight="1">
      <c r="A482" s="18"/>
      <c r="B482" s="19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20"/>
      <c r="AB482" s="18"/>
      <c r="AC482" s="18"/>
      <c r="AD482" s="18"/>
      <c r="AE482" s="18"/>
      <c r="AG482" s="18"/>
      <c r="AH482" s="18"/>
      <c r="AI482" s="18"/>
      <c r="AJ482" s="18"/>
    </row>
    <row r="483" ht="13.5" customHeight="1">
      <c r="A483" s="18"/>
      <c r="B483" s="19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20"/>
      <c r="AB483" s="18"/>
      <c r="AC483" s="18"/>
      <c r="AD483" s="18"/>
      <c r="AE483" s="18"/>
      <c r="AG483" s="18"/>
      <c r="AH483" s="18"/>
      <c r="AI483" s="18"/>
      <c r="AJ483" s="18"/>
    </row>
    <row r="484" ht="13.5" customHeight="1">
      <c r="A484" s="18"/>
      <c r="B484" s="19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20"/>
      <c r="AB484" s="18"/>
      <c r="AC484" s="18"/>
      <c r="AD484" s="18"/>
      <c r="AE484" s="18"/>
      <c r="AG484" s="18"/>
      <c r="AH484" s="18"/>
      <c r="AI484" s="18"/>
      <c r="AJ484" s="18"/>
    </row>
    <row r="485" ht="13.5" customHeight="1">
      <c r="A485" s="18"/>
      <c r="B485" s="19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20"/>
      <c r="AB485" s="18"/>
      <c r="AC485" s="18"/>
      <c r="AD485" s="18"/>
      <c r="AE485" s="18"/>
      <c r="AG485" s="18"/>
      <c r="AH485" s="18"/>
      <c r="AI485" s="18"/>
      <c r="AJ485" s="18"/>
    </row>
    <row r="486" ht="13.5" customHeight="1">
      <c r="A486" s="18"/>
      <c r="B486" s="19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20"/>
      <c r="AB486" s="18"/>
      <c r="AC486" s="18"/>
      <c r="AD486" s="18"/>
      <c r="AE486" s="18"/>
      <c r="AG486" s="18"/>
      <c r="AH486" s="18"/>
      <c r="AI486" s="18"/>
      <c r="AJ486" s="18"/>
    </row>
    <row r="487" ht="13.5" customHeight="1">
      <c r="A487" s="18"/>
      <c r="B487" s="19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20"/>
      <c r="AB487" s="18"/>
      <c r="AC487" s="18"/>
      <c r="AD487" s="18"/>
      <c r="AE487" s="18"/>
      <c r="AG487" s="18"/>
      <c r="AH487" s="18"/>
      <c r="AI487" s="18"/>
      <c r="AJ487" s="18"/>
    </row>
    <row r="488" ht="13.5" customHeight="1">
      <c r="A488" s="18"/>
      <c r="B488" s="19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20"/>
      <c r="AB488" s="18"/>
      <c r="AC488" s="18"/>
      <c r="AD488" s="18"/>
      <c r="AE488" s="18"/>
      <c r="AG488" s="18"/>
      <c r="AH488" s="18"/>
      <c r="AI488" s="18"/>
      <c r="AJ488" s="18"/>
    </row>
    <row r="489" ht="13.5" customHeight="1">
      <c r="A489" s="18"/>
      <c r="B489" s="19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20"/>
      <c r="AB489" s="18"/>
      <c r="AC489" s="18"/>
      <c r="AD489" s="18"/>
      <c r="AE489" s="18"/>
      <c r="AG489" s="18"/>
      <c r="AH489" s="18"/>
      <c r="AI489" s="18"/>
      <c r="AJ489" s="18"/>
    </row>
    <row r="490" ht="13.5" customHeight="1">
      <c r="A490" s="18"/>
      <c r="B490" s="19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20"/>
      <c r="AB490" s="18"/>
      <c r="AC490" s="18"/>
      <c r="AD490" s="18"/>
      <c r="AE490" s="18"/>
      <c r="AG490" s="18"/>
      <c r="AH490" s="18"/>
      <c r="AI490" s="18"/>
      <c r="AJ490" s="18"/>
    </row>
    <row r="491" ht="13.5" customHeight="1">
      <c r="A491" s="18"/>
      <c r="B491" s="19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20"/>
      <c r="AB491" s="18"/>
      <c r="AC491" s="18"/>
      <c r="AD491" s="18"/>
      <c r="AE491" s="18"/>
      <c r="AG491" s="18"/>
      <c r="AH491" s="18"/>
      <c r="AI491" s="18"/>
      <c r="AJ491" s="18"/>
    </row>
    <row r="492" ht="13.5" customHeight="1">
      <c r="A492" s="18"/>
      <c r="B492" s="19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20"/>
      <c r="AB492" s="18"/>
      <c r="AC492" s="18"/>
      <c r="AD492" s="18"/>
      <c r="AE492" s="18"/>
      <c r="AG492" s="18"/>
      <c r="AH492" s="18"/>
      <c r="AI492" s="18"/>
      <c r="AJ492" s="18"/>
    </row>
    <row r="493" ht="13.5" customHeight="1">
      <c r="A493" s="18"/>
      <c r="B493" s="19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20"/>
      <c r="AB493" s="18"/>
      <c r="AC493" s="18"/>
      <c r="AD493" s="18"/>
      <c r="AE493" s="18"/>
      <c r="AG493" s="18"/>
      <c r="AH493" s="18"/>
      <c r="AI493" s="18"/>
      <c r="AJ493" s="18"/>
    </row>
    <row r="494" ht="13.5" customHeight="1">
      <c r="A494" s="18"/>
      <c r="B494" s="19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20"/>
      <c r="AB494" s="18"/>
      <c r="AC494" s="18"/>
      <c r="AD494" s="18"/>
      <c r="AE494" s="18"/>
      <c r="AG494" s="18"/>
      <c r="AH494" s="18"/>
      <c r="AI494" s="18"/>
      <c r="AJ494" s="18"/>
    </row>
    <row r="495" ht="13.5" customHeight="1">
      <c r="A495" s="18"/>
      <c r="B495" s="19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20"/>
      <c r="AB495" s="18"/>
      <c r="AC495" s="18"/>
      <c r="AD495" s="18"/>
      <c r="AE495" s="18"/>
      <c r="AG495" s="18"/>
      <c r="AH495" s="18"/>
      <c r="AI495" s="18"/>
      <c r="AJ495" s="18"/>
    </row>
    <row r="496" ht="13.5" customHeight="1">
      <c r="A496" s="18"/>
      <c r="B496" s="19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20"/>
      <c r="AB496" s="18"/>
      <c r="AC496" s="18"/>
      <c r="AD496" s="18"/>
      <c r="AE496" s="18"/>
      <c r="AG496" s="18"/>
      <c r="AH496" s="18"/>
      <c r="AI496" s="18"/>
      <c r="AJ496" s="18"/>
    </row>
    <row r="497" ht="13.5" customHeight="1">
      <c r="A497" s="18"/>
      <c r="B497" s="19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20"/>
      <c r="AB497" s="18"/>
      <c r="AC497" s="18"/>
      <c r="AD497" s="18"/>
      <c r="AE497" s="18"/>
      <c r="AG497" s="18"/>
      <c r="AH497" s="18"/>
      <c r="AI497" s="18"/>
      <c r="AJ497" s="18"/>
    </row>
    <row r="498" ht="13.5" customHeight="1">
      <c r="A498" s="18"/>
      <c r="B498" s="19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20"/>
      <c r="AB498" s="18"/>
      <c r="AC498" s="18"/>
      <c r="AD498" s="18"/>
      <c r="AE498" s="18"/>
      <c r="AG498" s="18"/>
      <c r="AH498" s="18"/>
      <c r="AI498" s="18"/>
      <c r="AJ498" s="18"/>
    </row>
    <row r="499" ht="13.5" customHeight="1">
      <c r="A499" s="18"/>
      <c r="B499" s="19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20"/>
      <c r="AB499" s="18"/>
      <c r="AC499" s="18"/>
      <c r="AD499" s="18"/>
      <c r="AE499" s="18"/>
      <c r="AG499" s="18"/>
      <c r="AH499" s="18"/>
      <c r="AI499" s="18"/>
      <c r="AJ499" s="18"/>
    </row>
    <row r="500" ht="13.5" customHeight="1">
      <c r="A500" s="18"/>
      <c r="B500" s="19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20"/>
      <c r="AB500" s="18"/>
      <c r="AC500" s="18"/>
      <c r="AD500" s="18"/>
      <c r="AE500" s="18"/>
      <c r="AG500" s="18"/>
      <c r="AH500" s="18"/>
      <c r="AI500" s="18"/>
      <c r="AJ500" s="18"/>
    </row>
    <row r="501" ht="13.5" customHeight="1">
      <c r="A501" s="18"/>
      <c r="B501" s="19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20"/>
      <c r="AB501" s="18"/>
      <c r="AC501" s="18"/>
      <c r="AD501" s="18"/>
      <c r="AE501" s="18"/>
      <c r="AG501" s="18"/>
      <c r="AH501" s="18"/>
      <c r="AI501" s="18"/>
      <c r="AJ501" s="18"/>
    </row>
    <row r="502" ht="13.5" customHeight="1">
      <c r="A502" s="18"/>
      <c r="B502" s="19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20"/>
      <c r="AB502" s="18"/>
      <c r="AC502" s="18"/>
      <c r="AD502" s="18"/>
      <c r="AE502" s="18"/>
      <c r="AG502" s="18"/>
      <c r="AH502" s="18"/>
      <c r="AI502" s="18"/>
      <c r="AJ502" s="18"/>
    </row>
    <row r="503" ht="13.5" customHeight="1">
      <c r="A503" s="18"/>
      <c r="B503" s="19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20"/>
      <c r="AB503" s="18"/>
      <c r="AC503" s="18"/>
      <c r="AD503" s="18"/>
      <c r="AE503" s="18"/>
      <c r="AG503" s="18"/>
      <c r="AH503" s="18"/>
      <c r="AI503" s="18"/>
      <c r="AJ503" s="18"/>
    </row>
    <row r="504" ht="13.5" customHeight="1">
      <c r="A504" s="18"/>
      <c r="B504" s="19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20"/>
      <c r="AB504" s="18"/>
      <c r="AC504" s="18"/>
      <c r="AD504" s="18"/>
      <c r="AE504" s="18"/>
      <c r="AG504" s="18"/>
      <c r="AH504" s="18"/>
      <c r="AI504" s="18"/>
      <c r="AJ504" s="18"/>
    </row>
    <row r="505" ht="13.5" customHeight="1">
      <c r="A505" s="18"/>
      <c r="B505" s="19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20"/>
      <c r="AB505" s="18"/>
      <c r="AC505" s="18"/>
      <c r="AD505" s="18"/>
      <c r="AE505" s="18"/>
      <c r="AG505" s="18"/>
      <c r="AH505" s="18"/>
      <c r="AI505" s="18"/>
      <c r="AJ505" s="18"/>
    </row>
    <row r="506" ht="13.5" customHeight="1">
      <c r="A506" s="18"/>
      <c r="B506" s="19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20"/>
      <c r="AB506" s="18"/>
      <c r="AC506" s="18"/>
      <c r="AD506" s="18"/>
      <c r="AE506" s="18"/>
      <c r="AG506" s="18"/>
      <c r="AH506" s="18"/>
      <c r="AI506" s="18"/>
      <c r="AJ506" s="18"/>
    </row>
    <row r="507" ht="13.5" customHeight="1">
      <c r="A507" s="18"/>
      <c r="B507" s="19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20"/>
      <c r="AB507" s="18"/>
      <c r="AC507" s="18"/>
      <c r="AD507" s="18"/>
      <c r="AE507" s="18"/>
      <c r="AG507" s="18"/>
      <c r="AH507" s="18"/>
      <c r="AI507" s="18"/>
      <c r="AJ507" s="18"/>
    </row>
    <row r="508" ht="13.5" customHeight="1">
      <c r="A508" s="18"/>
      <c r="B508" s="19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20"/>
      <c r="AB508" s="18"/>
      <c r="AC508" s="18"/>
      <c r="AD508" s="18"/>
      <c r="AE508" s="18"/>
      <c r="AG508" s="18"/>
      <c r="AH508" s="18"/>
      <c r="AI508" s="18"/>
      <c r="AJ508" s="18"/>
    </row>
    <row r="509" ht="13.5" customHeight="1">
      <c r="A509" s="18"/>
      <c r="B509" s="19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20"/>
      <c r="AB509" s="18"/>
      <c r="AC509" s="18"/>
      <c r="AD509" s="18"/>
      <c r="AE509" s="18"/>
      <c r="AG509" s="18"/>
      <c r="AH509" s="18"/>
      <c r="AI509" s="18"/>
      <c r="AJ509" s="18"/>
    </row>
    <row r="510" ht="13.5" customHeight="1">
      <c r="A510" s="18"/>
      <c r="B510" s="19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20"/>
      <c r="AB510" s="18"/>
      <c r="AC510" s="18"/>
      <c r="AD510" s="18"/>
      <c r="AE510" s="18"/>
      <c r="AG510" s="18"/>
      <c r="AH510" s="18"/>
      <c r="AI510" s="18"/>
      <c r="AJ510" s="18"/>
    </row>
    <row r="511" ht="13.5" customHeight="1">
      <c r="A511" s="18"/>
      <c r="B511" s="19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20"/>
      <c r="AB511" s="18"/>
      <c r="AC511" s="18"/>
      <c r="AD511" s="18"/>
      <c r="AE511" s="18"/>
      <c r="AG511" s="18"/>
      <c r="AH511" s="18"/>
      <c r="AI511" s="18"/>
      <c r="AJ511" s="18"/>
    </row>
    <row r="512" ht="13.5" customHeight="1">
      <c r="A512" s="18"/>
      <c r="B512" s="19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20"/>
      <c r="AB512" s="18"/>
      <c r="AC512" s="18"/>
      <c r="AD512" s="18"/>
      <c r="AE512" s="18"/>
      <c r="AG512" s="18"/>
      <c r="AH512" s="18"/>
      <c r="AI512" s="18"/>
      <c r="AJ512" s="18"/>
    </row>
    <row r="513" ht="13.5" customHeight="1">
      <c r="A513" s="18"/>
      <c r="B513" s="19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20"/>
      <c r="AB513" s="18"/>
      <c r="AC513" s="18"/>
      <c r="AD513" s="18"/>
      <c r="AE513" s="18"/>
      <c r="AG513" s="18"/>
      <c r="AH513" s="18"/>
      <c r="AI513" s="18"/>
      <c r="AJ513" s="18"/>
    </row>
    <row r="514" ht="13.5" customHeight="1">
      <c r="A514" s="18"/>
      <c r="B514" s="19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20"/>
      <c r="AB514" s="18"/>
      <c r="AC514" s="18"/>
      <c r="AD514" s="18"/>
      <c r="AE514" s="18"/>
      <c r="AG514" s="18"/>
      <c r="AH514" s="18"/>
      <c r="AI514" s="18"/>
      <c r="AJ514" s="18"/>
    </row>
    <row r="515" ht="13.5" customHeight="1">
      <c r="A515" s="18"/>
      <c r="B515" s="19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20"/>
      <c r="AB515" s="18"/>
      <c r="AC515" s="18"/>
      <c r="AD515" s="18"/>
      <c r="AE515" s="18"/>
      <c r="AG515" s="18"/>
      <c r="AH515" s="18"/>
      <c r="AI515" s="18"/>
      <c r="AJ515" s="18"/>
    </row>
    <row r="516" ht="13.5" customHeight="1">
      <c r="A516" s="18"/>
      <c r="B516" s="19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20"/>
      <c r="AB516" s="18"/>
      <c r="AC516" s="18"/>
      <c r="AD516" s="18"/>
      <c r="AE516" s="18"/>
      <c r="AG516" s="18"/>
      <c r="AH516" s="18"/>
      <c r="AI516" s="18"/>
      <c r="AJ516" s="18"/>
    </row>
    <row r="517" ht="13.5" customHeight="1">
      <c r="A517" s="18"/>
      <c r="B517" s="19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20"/>
      <c r="AB517" s="18"/>
      <c r="AC517" s="18"/>
      <c r="AD517" s="18"/>
      <c r="AE517" s="18"/>
      <c r="AG517" s="18"/>
      <c r="AH517" s="18"/>
      <c r="AI517" s="18"/>
      <c r="AJ517" s="18"/>
    </row>
    <row r="518" ht="13.5" customHeight="1">
      <c r="A518" s="18"/>
      <c r="B518" s="19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20"/>
      <c r="AB518" s="18"/>
      <c r="AC518" s="18"/>
      <c r="AD518" s="18"/>
      <c r="AE518" s="18"/>
      <c r="AG518" s="18"/>
      <c r="AH518" s="18"/>
      <c r="AI518" s="18"/>
      <c r="AJ518" s="18"/>
    </row>
    <row r="519" ht="13.5" customHeight="1">
      <c r="A519" s="18"/>
      <c r="B519" s="19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20"/>
      <c r="AB519" s="18"/>
      <c r="AC519" s="18"/>
      <c r="AD519" s="18"/>
      <c r="AE519" s="18"/>
      <c r="AG519" s="18"/>
      <c r="AH519" s="18"/>
      <c r="AI519" s="18"/>
      <c r="AJ519" s="18"/>
    </row>
    <row r="520" ht="13.5" customHeight="1">
      <c r="A520" s="18"/>
      <c r="B520" s="19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20"/>
      <c r="AB520" s="18"/>
      <c r="AC520" s="18"/>
      <c r="AD520" s="18"/>
      <c r="AE520" s="18"/>
      <c r="AG520" s="18"/>
      <c r="AH520" s="18"/>
      <c r="AI520" s="18"/>
      <c r="AJ520" s="18"/>
    </row>
    <row r="521" ht="13.5" customHeight="1">
      <c r="A521" s="18"/>
      <c r="B521" s="19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20"/>
      <c r="AB521" s="18"/>
      <c r="AC521" s="18"/>
      <c r="AD521" s="18"/>
      <c r="AE521" s="18"/>
      <c r="AG521" s="18"/>
      <c r="AH521" s="18"/>
      <c r="AI521" s="18"/>
      <c r="AJ521" s="18"/>
    </row>
    <row r="522" ht="13.5" customHeight="1">
      <c r="A522" s="18"/>
      <c r="B522" s="19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20"/>
      <c r="AB522" s="18"/>
      <c r="AC522" s="18"/>
      <c r="AD522" s="18"/>
      <c r="AE522" s="18"/>
      <c r="AG522" s="18"/>
      <c r="AH522" s="18"/>
      <c r="AI522" s="18"/>
      <c r="AJ522" s="18"/>
    </row>
    <row r="523" ht="13.5" customHeight="1">
      <c r="A523" s="18"/>
      <c r="B523" s="19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20"/>
      <c r="AB523" s="18"/>
      <c r="AC523" s="18"/>
      <c r="AD523" s="18"/>
      <c r="AE523" s="18"/>
      <c r="AG523" s="18"/>
      <c r="AH523" s="18"/>
      <c r="AI523" s="18"/>
      <c r="AJ523" s="18"/>
    </row>
    <row r="524" ht="13.5" customHeight="1">
      <c r="A524" s="18"/>
      <c r="B524" s="19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20"/>
      <c r="AB524" s="18"/>
      <c r="AC524" s="18"/>
      <c r="AD524" s="18"/>
      <c r="AE524" s="18"/>
      <c r="AG524" s="18"/>
      <c r="AH524" s="18"/>
      <c r="AI524" s="18"/>
      <c r="AJ524" s="18"/>
    </row>
    <row r="525" ht="13.5" customHeight="1">
      <c r="A525" s="18"/>
      <c r="B525" s="19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20"/>
      <c r="AB525" s="18"/>
      <c r="AC525" s="18"/>
      <c r="AD525" s="18"/>
      <c r="AE525" s="18"/>
      <c r="AG525" s="18"/>
      <c r="AH525" s="18"/>
      <c r="AI525" s="18"/>
      <c r="AJ525" s="18"/>
    </row>
    <row r="526" ht="13.5" customHeight="1">
      <c r="A526" s="18"/>
      <c r="B526" s="19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20"/>
      <c r="AB526" s="18"/>
      <c r="AC526" s="18"/>
      <c r="AD526" s="18"/>
      <c r="AE526" s="18"/>
      <c r="AG526" s="18"/>
      <c r="AH526" s="18"/>
      <c r="AI526" s="18"/>
      <c r="AJ526" s="18"/>
    </row>
    <row r="527" ht="13.5" customHeight="1">
      <c r="A527" s="18"/>
      <c r="B527" s="19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20"/>
      <c r="AB527" s="18"/>
      <c r="AC527" s="18"/>
      <c r="AD527" s="18"/>
      <c r="AE527" s="18"/>
      <c r="AG527" s="18"/>
      <c r="AH527" s="18"/>
      <c r="AI527" s="18"/>
      <c r="AJ527" s="18"/>
    </row>
    <row r="528" ht="13.5" customHeight="1">
      <c r="A528" s="18"/>
      <c r="B528" s="19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20"/>
      <c r="AB528" s="18"/>
      <c r="AC528" s="18"/>
      <c r="AD528" s="18"/>
      <c r="AE528" s="18"/>
      <c r="AG528" s="18"/>
      <c r="AH528" s="18"/>
      <c r="AI528" s="18"/>
      <c r="AJ528" s="18"/>
    </row>
    <row r="529" ht="13.5" customHeight="1">
      <c r="A529" s="18"/>
      <c r="B529" s="19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20"/>
      <c r="AB529" s="18"/>
      <c r="AC529" s="18"/>
      <c r="AD529" s="18"/>
      <c r="AE529" s="18"/>
      <c r="AG529" s="18"/>
      <c r="AH529" s="18"/>
      <c r="AI529" s="18"/>
      <c r="AJ529" s="18"/>
    </row>
    <row r="530" ht="13.5" customHeight="1">
      <c r="A530" s="18"/>
      <c r="B530" s="19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20"/>
      <c r="AB530" s="18"/>
      <c r="AC530" s="18"/>
      <c r="AD530" s="18"/>
      <c r="AE530" s="18"/>
      <c r="AG530" s="18"/>
      <c r="AH530" s="18"/>
      <c r="AI530" s="18"/>
      <c r="AJ530" s="18"/>
    </row>
    <row r="531" ht="13.5" customHeight="1">
      <c r="A531" s="18"/>
      <c r="B531" s="19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20"/>
      <c r="AB531" s="18"/>
      <c r="AC531" s="18"/>
      <c r="AD531" s="18"/>
      <c r="AE531" s="18"/>
      <c r="AG531" s="18"/>
      <c r="AH531" s="18"/>
      <c r="AI531" s="18"/>
      <c r="AJ531" s="18"/>
    </row>
    <row r="532" ht="13.5" customHeight="1">
      <c r="A532" s="18"/>
      <c r="B532" s="19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20"/>
      <c r="AB532" s="18"/>
      <c r="AC532" s="18"/>
      <c r="AD532" s="18"/>
      <c r="AE532" s="18"/>
      <c r="AG532" s="18"/>
      <c r="AH532" s="18"/>
      <c r="AI532" s="18"/>
      <c r="AJ532" s="18"/>
    </row>
    <row r="533" ht="13.5" customHeight="1">
      <c r="A533" s="18"/>
      <c r="B533" s="19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20"/>
      <c r="AB533" s="18"/>
      <c r="AC533" s="18"/>
      <c r="AD533" s="18"/>
      <c r="AE533" s="18"/>
      <c r="AG533" s="18"/>
      <c r="AH533" s="18"/>
      <c r="AI533" s="18"/>
      <c r="AJ533" s="18"/>
    </row>
    <row r="534" ht="13.5" customHeight="1">
      <c r="A534" s="18"/>
      <c r="B534" s="19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20"/>
      <c r="AB534" s="18"/>
      <c r="AC534" s="18"/>
      <c r="AD534" s="18"/>
      <c r="AE534" s="18"/>
      <c r="AG534" s="18"/>
      <c r="AH534" s="18"/>
      <c r="AI534" s="18"/>
      <c r="AJ534" s="18"/>
    </row>
    <row r="535" ht="13.5" customHeight="1">
      <c r="A535" s="18"/>
      <c r="B535" s="19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20"/>
      <c r="AB535" s="18"/>
      <c r="AC535" s="18"/>
      <c r="AD535" s="18"/>
      <c r="AE535" s="18"/>
      <c r="AG535" s="18"/>
      <c r="AH535" s="18"/>
      <c r="AI535" s="18"/>
      <c r="AJ535" s="18"/>
    </row>
    <row r="536" ht="13.5" customHeight="1">
      <c r="A536" s="18"/>
      <c r="B536" s="19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20"/>
      <c r="AB536" s="18"/>
      <c r="AC536" s="18"/>
      <c r="AD536" s="18"/>
      <c r="AE536" s="18"/>
      <c r="AG536" s="18"/>
      <c r="AH536" s="18"/>
      <c r="AI536" s="18"/>
      <c r="AJ536" s="18"/>
    </row>
    <row r="537" ht="13.5" customHeight="1">
      <c r="A537" s="18"/>
      <c r="B537" s="19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20"/>
      <c r="AB537" s="18"/>
      <c r="AC537" s="18"/>
      <c r="AD537" s="18"/>
      <c r="AE537" s="18"/>
      <c r="AG537" s="18"/>
      <c r="AH537" s="18"/>
      <c r="AI537" s="18"/>
      <c r="AJ537" s="18"/>
    </row>
    <row r="538" ht="13.5" customHeight="1">
      <c r="A538" s="18"/>
      <c r="B538" s="19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20"/>
      <c r="AB538" s="18"/>
      <c r="AC538" s="18"/>
      <c r="AD538" s="18"/>
      <c r="AE538" s="18"/>
      <c r="AG538" s="18"/>
      <c r="AH538" s="18"/>
      <c r="AI538" s="18"/>
      <c r="AJ538" s="18"/>
    </row>
    <row r="539" ht="13.5" customHeight="1">
      <c r="A539" s="18"/>
      <c r="B539" s="19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20"/>
      <c r="AB539" s="18"/>
      <c r="AC539" s="18"/>
      <c r="AD539" s="18"/>
      <c r="AE539" s="18"/>
      <c r="AG539" s="18"/>
      <c r="AH539" s="18"/>
      <c r="AI539" s="18"/>
      <c r="AJ539" s="18"/>
    </row>
    <row r="540" ht="13.5" customHeight="1">
      <c r="A540" s="18"/>
      <c r="B540" s="19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20"/>
      <c r="AB540" s="18"/>
      <c r="AC540" s="18"/>
      <c r="AD540" s="18"/>
      <c r="AE540" s="18"/>
      <c r="AG540" s="18"/>
      <c r="AH540" s="18"/>
      <c r="AI540" s="18"/>
      <c r="AJ540" s="18"/>
    </row>
    <row r="541" ht="13.5" customHeight="1">
      <c r="A541" s="18"/>
      <c r="B541" s="19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20"/>
      <c r="AB541" s="18"/>
      <c r="AC541" s="18"/>
      <c r="AD541" s="18"/>
      <c r="AE541" s="18"/>
      <c r="AG541" s="18"/>
      <c r="AH541" s="18"/>
      <c r="AI541" s="18"/>
      <c r="AJ541" s="18"/>
    </row>
    <row r="542" ht="13.5" customHeight="1">
      <c r="A542" s="18"/>
      <c r="B542" s="19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20"/>
      <c r="AB542" s="18"/>
      <c r="AC542" s="18"/>
      <c r="AD542" s="18"/>
      <c r="AE542" s="18"/>
      <c r="AG542" s="18"/>
      <c r="AH542" s="18"/>
      <c r="AI542" s="18"/>
      <c r="AJ542" s="18"/>
    </row>
    <row r="543" ht="13.5" customHeight="1">
      <c r="A543" s="18"/>
      <c r="B543" s="19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20"/>
      <c r="AB543" s="18"/>
      <c r="AC543" s="18"/>
      <c r="AD543" s="18"/>
      <c r="AE543" s="18"/>
      <c r="AG543" s="18"/>
      <c r="AH543" s="18"/>
      <c r="AI543" s="18"/>
      <c r="AJ543" s="18"/>
    </row>
    <row r="544" ht="13.5" customHeight="1">
      <c r="A544" s="18"/>
      <c r="B544" s="19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20"/>
      <c r="AB544" s="18"/>
      <c r="AC544" s="18"/>
      <c r="AD544" s="18"/>
      <c r="AE544" s="18"/>
      <c r="AG544" s="18"/>
      <c r="AH544" s="18"/>
      <c r="AI544" s="18"/>
      <c r="AJ544" s="18"/>
    </row>
    <row r="545" ht="13.5" customHeight="1">
      <c r="A545" s="18"/>
      <c r="B545" s="19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20"/>
      <c r="AB545" s="18"/>
      <c r="AC545" s="18"/>
      <c r="AD545" s="18"/>
      <c r="AE545" s="18"/>
      <c r="AG545" s="18"/>
      <c r="AH545" s="18"/>
      <c r="AI545" s="18"/>
      <c r="AJ545" s="18"/>
    </row>
    <row r="546" ht="13.5" customHeight="1">
      <c r="A546" s="18"/>
      <c r="B546" s="19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20"/>
      <c r="AB546" s="18"/>
      <c r="AC546" s="18"/>
      <c r="AD546" s="18"/>
      <c r="AE546" s="18"/>
      <c r="AG546" s="18"/>
      <c r="AH546" s="18"/>
      <c r="AI546" s="18"/>
      <c r="AJ546" s="18"/>
    </row>
    <row r="547" ht="13.5" customHeight="1">
      <c r="A547" s="18"/>
      <c r="B547" s="19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20"/>
      <c r="AB547" s="18"/>
      <c r="AC547" s="18"/>
      <c r="AD547" s="18"/>
      <c r="AE547" s="18"/>
      <c r="AG547" s="18"/>
      <c r="AH547" s="18"/>
      <c r="AI547" s="18"/>
      <c r="AJ547" s="18"/>
    </row>
    <row r="548" ht="13.5" customHeight="1">
      <c r="A548" s="18"/>
      <c r="B548" s="19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20"/>
      <c r="AB548" s="18"/>
      <c r="AC548" s="18"/>
      <c r="AD548" s="18"/>
      <c r="AE548" s="18"/>
      <c r="AG548" s="18"/>
      <c r="AH548" s="18"/>
      <c r="AI548" s="18"/>
      <c r="AJ548" s="18"/>
    </row>
    <row r="549" ht="13.5" customHeight="1">
      <c r="A549" s="18"/>
      <c r="B549" s="19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20"/>
      <c r="AB549" s="18"/>
      <c r="AC549" s="18"/>
      <c r="AD549" s="18"/>
      <c r="AE549" s="18"/>
      <c r="AG549" s="18"/>
      <c r="AH549" s="18"/>
      <c r="AI549" s="18"/>
      <c r="AJ549" s="18"/>
    </row>
    <row r="550" ht="13.5" customHeight="1">
      <c r="A550" s="18"/>
      <c r="B550" s="19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20"/>
      <c r="AB550" s="18"/>
      <c r="AC550" s="18"/>
      <c r="AD550" s="18"/>
      <c r="AE550" s="18"/>
      <c r="AG550" s="18"/>
      <c r="AH550" s="18"/>
      <c r="AI550" s="18"/>
      <c r="AJ550" s="18"/>
    </row>
    <row r="551" ht="13.5" customHeight="1">
      <c r="A551" s="18"/>
      <c r="B551" s="19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20"/>
      <c r="AB551" s="18"/>
      <c r="AC551" s="18"/>
      <c r="AD551" s="18"/>
      <c r="AE551" s="18"/>
      <c r="AG551" s="18"/>
      <c r="AH551" s="18"/>
      <c r="AI551" s="18"/>
      <c r="AJ551" s="18"/>
    </row>
    <row r="552" ht="13.5" customHeight="1">
      <c r="A552" s="18"/>
      <c r="B552" s="19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20"/>
      <c r="AB552" s="18"/>
      <c r="AC552" s="18"/>
      <c r="AD552" s="18"/>
      <c r="AE552" s="18"/>
      <c r="AG552" s="18"/>
      <c r="AH552" s="18"/>
      <c r="AI552" s="18"/>
      <c r="AJ552" s="18"/>
    </row>
    <row r="553" ht="13.5" customHeight="1">
      <c r="A553" s="18"/>
      <c r="B553" s="19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20"/>
      <c r="AB553" s="18"/>
      <c r="AC553" s="18"/>
      <c r="AD553" s="18"/>
      <c r="AE553" s="18"/>
      <c r="AG553" s="18"/>
      <c r="AH553" s="18"/>
      <c r="AI553" s="18"/>
      <c r="AJ553" s="18"/>
    </row>
    <row r="554" ht="13.5" customHeight="1">
      <c r="A554" s="18"/>
      <c r="B554" s="19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20"/>
      <c r="AB554" s="18"/>
      <c r="AC554" s="18"/>
      <c r="AD554" s="18"/>
      <c r="AE554" s="18"/>
      <c r="AG554" s="18"/>
      <c r="AH554" s="18"/>
      <c r="AI554" s="18"/>
      <c r="AJ554" s="18"/>
    </row>
    <row r="555" ht="13.5" customHeight="1">
      <c r="A555" s="18"/>
      <c r="B555" s="19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20"/>
      <c r="AB555" s="18"/>
      <c r="AC555" s="18"/>
      <c r="AD555" s="18"/>
      <c r="AE555" s="18"/>
      <c r="AG555" s="18"/>
      <c r="AH555" s="18"/>
      <c r="AI555" s="18"/>
      <c r="AJ555" s="18"/>
    </row>
    <row r="556" ht="13.5" customHeight="1">
      <c r="A556" s="18"/>
      <c r="B556" s="19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20"/>
      <c r="AB556" s="18"/>
      <c r="AC556" s="18"/>
      <c r="AD556" s="18"/>
      <c r="AE556" s="18"/>
      <c r="AG556" s="18"/>
      <c r="AH556" s="18"/>
      <c r="AI556" s="18"/>
      <c r="AJ556" s="18"/>
    </row>
    <row r="557" ht="13.5" customHeight="1">
      <c r="A557" s="18"/>
      <c r="B557" s="19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20"/>
      <c r="AB557" s="18"/>
      <c r="AC557" s="18"/>
      <c r="AD557" s="18"/>
      <c r="AE557" s="18"/>
      <c r="AG557" s="18"/>
      <c r="AH557" s="18"/>
      <c r="AI557" s="18"/>
      <c r="AJ557" s="18"/>
    </row>
    <row r="558" ht="13.5" customHeight="1">
      <c r="A558" s="18"/>
      <c r="B558" s="19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20"/>
      <c r="AB558" s="18"/>
      <c r="AC558" s="18"/>
      <c r="AD558" s="18"/>
      <c r="AE558" s="18"/>
      <c r="AG558" s="18"/>
      <c r="AH558" s="18"/>
      <c r="AI558" s="18"/>
      <c r="AJ558" s="18"/>
    </row>
    <row r="559" ht="13.5" customHeight="1">
      <c r="A559" s="18"/>
      <c r="B559" s="19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20"/>
      <c r="AB559" s="18"/>
      <c r="AC559" s="18"/>
      <c r="AD559" s="18"/>
      <c r="AE559" s="18"/>
      <c r="AG559" s="18"/>
      <c r="AH559" s="18"/>
      <c r="AI559" s="18"/>
      <c r="AJ559" s="18"/>
    </row>
    <row r="560" ht="13.5" customHeight="1">
      <c r="A560" s="18"/>
      <c r="B560" s="19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20"/>
      <c r="AB560" s="18"/>
      <c r="AC560" s="18"/>
      <c r="AD560" s="18"/>
      <c r="AE560" s="18"/>
      <c r="AG560" s="18"/>
      <c r="AH560" s="18"/>
      <c r="AI560" s="18"/>
      <c r="AJ560" s="18"/>
    </row>
    <row r="561" ht="13.5" customHeight="1">
      <c r="A561" s="18"/>
      <c r="B561" s="19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20"/>
      <c r="AB561" s="18"/>
      <c r="AC561" s="18"/>
      <c r="AD561" s="18"/>
      <c r="AE561" s="18"/>
      <c r="AG561" s="18"/>
      <c r="AH561" s="18"/>
      <c r="AI561" s="18"/>
      <c r="AJ561" s="18"/>
    </row>
    <row r="562" ht="13.5" customHeight="1">
      <c r="A562" s="18"/>
      <c r="B562" s="19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20"/>
      <c r="AB562" s="18"/>
      <c r="AC562" s="18"/>
      <c r="AD562" s="18"/>
      <c r="AE562" s="18"/>
      <c r="AG562" s="18"/>
      <c r="AH562" s="18"/>
      <c r="AI562" s="18"/>
      <c r="AJ562" s="18"/>
    </row>
    <row r="563" ht="13.5" customHeight="1">
      <c r="A563" s="18"/>
      <c r="B563" s="19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20"/>
      <c r="AB563" s="18"/>
      <c r="AC563" s="18"/>
      <c r="AD563" s="18"/>
      <c r="AE563" s="18"/>
      <c r="AG563" s="18"/>
      <c r="AH563" s="18"/>
      <c r="AI563" s="18"/>
      <c r="AJ563" s="18"/>
    </row>
    <row r="564" ht="13.5" customHeight="1">
      <c r="A564" s="18"/>
      <c r="B564" s="19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20"/>
      <c r="AB564" s="18"/>
      <c r="AC564" s="18"/>
      <c r="AD564" s="18"/>
      <c r="AE564" s="18"/>
      <c r="AG564" s="18"/>
      <c r="AH564" s="18"/>
      <c r="AI564" s="18"/>
      <c r="AJ564" s="18"/>
    </row>
    <row r="565" ht="13.5" customHeight="1">
      <c r="A565" s="18"/>
      <c r="B565" s="19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20"/>
      <c r="AB565" s="18"/>
      <c r="AC565" s="18"/>
      <c r="AD565" s="18"/>
      <c r="AE565" s="18"/>
      <c r="AG565" s="18"/>
      <c r="AH565" s="18"/>
      <c r="AI565" s="18"/>
      <c r="AJ565" s="18"/>
    </row>
    <row r="566" ht="13.5" customHeight="1">
      <c r="A566" s="18"/>
      <c r="B566" s="19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20"/>
      <c r="AB566" s="18"/>
      <c r="AC566" s="18"/>
      <c r="AD566" s="18"/>
      <c r="AE566" s="18"/>
      <c r="AG566" s="18"/>
      <c r="AH566" s="18"/>
      <c r="AI566" s="18"/>
      <c r="AJ566" s="18"/>
    </row>
    <row r="567" ht="13.5" customHeight="1">
      <c r="A567" s="18"/>
      <c r="B567" s="19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20"/>
      <c r="AB567" s="18"/>
      <c r="AC567" s="18"/>
      <c r="AD567" s="18"/>
      <c r="AE567" s="18"/>
      <c r="AG567" s="18"/>
      <c r="AH567" s="18"/>
      <c r="AI567" s="18"/>
      <c r="AJ567" s="18"/>
    </row>
    <row r="568" ht="13.5" customHeight="1">
      <c r="A568" s="18"/>
      <c r="B568" s="19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20"/>
      <c r="AB568" s="18"/>
      <c r="AC568" s="18"/>
      <c r="AD568" s="18"/>
      <c r="AE568" s="18"/>
      <c r="AG568" s="18"/>
      <c r="AH568" s="18"/>
      <c r="AI568" s="18"/>
      <c r="AJ568" s="18"/>
    </row>
    <row r="569" ht="13.5" customHeight="1">
      <c r="A569" s="18"/>
      <c r="B569" s="19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20"/>
      <c r="AB569" s="18"/>
      <c r="AC569" s="18"/>
      <c r="AD569" s="18"/>
      <c r="AE569" s="18"/>
      <c r="AG569" s="18"/>
      <c r="AH569" s="18"/>
      <c r="AI569" s="18"/>
      <c r="AJ569" s="18"/>
    </row>
    <row r="570" ht="13.5" customHeight="1">
      <c r="A570" s="18"/>
      <c r="B570" s="19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20"/>
      <c r="AB570" s="18"/>
      <c r="AC570" s="18"/>
      <c r="AD570" s="18"/>
      <c r="AE570" s="18"/>
      <c r="AG570" s="18"/>
      <c r="AH570" s="18"/>
      <c r="AI570" s="18"/>
      <c r="AJ570" s="18"/>
    </row>
    <row r="571" ht="13.5" customHeight="1">
      <c r="A571" s="18"/>
      <c r="B571" s="19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20"/>
      <c r="AB571" s="18"/>
      <c r="AC571" s="18"/>
      <c r="AD571" s="18"/>
      <c r="AE571" s="18"/>
      <c r="AG571" s="18"/>
      <c r="AH571" s="18"/>
      <c r="AI571" s="18"/>
      <c r="AJ571" s="18"/>
    </row>
    <row r="572" ht="13.5" customHeight="1">
      <c r="A572" s="18"/>
      <c r="B572" s="19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20"/>
      <c r="AB572" s="18"/>
      <c r="AC572" s="18"/>
      <c r="AD572" s="18"/>
      <c r="AE572" s="18"/>
      <c r="AG572" s="18"/>
      <c r="AH572" s="18"/>
      <c r="AI572" s="18"/>
      <c r="AJ572" s="18"/>
    </row>
    <row r="573" ht="13.5" customHeight="1">
      <c r="A573" s="18"/>
      <c r="B573" s="19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20"/>
      <c r="AB573" s="18"/>
      <c r="AC573" s="18"/>
      <c r="AD573" s="18"/>
      <c r="AE573" s="18"/>
      <c r="AG573" s="18"/>
      <c r="AH573" s="18"/>
      <c r="AI573" s="18"/>
      <c r="AJ573" s="18"/>
    </row>
    <row r="574" ht="13.5" customHeight="1">
      <c r="A574" s="18"/>
      <c r="B574" s="19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20"/>
      <c r="AB574" s="18"/>
      <c r="AC574" s="18"/>
      <c r="AD574" s="18"/>
      <c r="AE574" s="18"/>
      <c r="AG574" s="18"/>
      <c r="AH574" s="18"/>
      <c r="AI574" s="18"/>
      <c r="AJ574" s="18"/>
    </row>
    <row r="575" ht="13.5" customHeight="1">
      <c r="A575" s="18"/>
      <c r="B575" s="19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20"/>
      <c r="AB575" s="18"/>
      <c r="AC575" s="18"/>
      <c r="AD575" s="18"/>
      <c r="AE575" s="18"/>
      <c r="AG575" s="18"/>
      <c r="AH575" s="18"/>
      <c r="AI575" s="18"/>
      <c r="AJ575" s="18"/>
    </row>
    <row r="576" ht="13.5" customHeight="1">
      <c r="A576" s="18"/>
      <c r="B576" s="19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20"/>
      <c r="AB576" s="18"/>
      <c r="AC576" s="18"/>
      <c r="AD576" s="18"/>
      <c r="AE576" s="18"/>
      <c r="AG576" s="18"/>
      <c r="AH576" s="18"/>
      <c r="AI576" s="18"/>
      <c r="AJ576" s="18"/>
    </row>
    <row r="577" ht="13.5" customHeight="1">
      <c r="A577" s="18"/>
      <c r="B577" s="19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20"/>
      <c r="AB577" s="18"/>
      <c r="AC577" s="18"/>
      <c r="AD577" s="18"/>
      <c r="AE577" s="18"/>
      <c r="AG577" s="18"/>
      <c r="AH577" s="18"/>
      <c r="AI577" s="18"/>
      <c r="AJ577" s="18"/>
    </row>
    <row r="578" ht="13.5" customHeight="1">
      <c r="A578" s="18"/>
      <c r="B578" s="19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20"/>
      <c r="AB578" s="18"/>
      <c r="AC578" s="18"/>
      <c r="AD578" s="18"/>
      <c r="AE578" s="18"/>
      <c r="AG578" s="18"/>
      <c r="AH578" s="18"/>
      <c r="AI578" s="18"/>
      <c r="AJ578" s="18"/>
    </row>
    <row r="579" ht="13.5" customHeight="1">
      <c r="A579" s="18"/>
      <c r="B579" s="19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20"/>
      <c r="AB579" s="18"/>
      <c r="AC579" s="18"/>
      <c r="AD579" s="18"/>
      <c r="AE579" s="18"/>
      <c r="AG579" s="18"/>
      <c r="AH579" s="18"/>
      <c r="AI579" s="18"/>
      <c r="AJ579" s="18"/>
    </row>
    <row r="580" ht="13.5" customHeight="1">
      <c r="A580" s="18"/>
      <c r="B580" s="19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20"/>
      <c r="AB580" s="18"/>
      <c r="AC580" s="18"/>
      <c r="AD580" s="18"/>
      <c r="AE580" s="18"/>
      <c r="AG580" s="18"/>
      <c r="AH580" s="18"/>
      <c r="AI580" s="18"/>
      <c r="AJ580" s="18"/>
    </row>
    <row r="581" ht="13.5" customHeight="1">
      <c r="A581" s="18"/>
      <c r="B581" s="19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20"/>
      <c r="AB581" s="18"/>
      <c r="AC581" s="18"/>
      <c r="AD581" s="18"/>
      <c r="AE581" s="18"/>
      <c r="AG581" s="18"/>
      <c r="AH581" s="18"/>
      <c r="AI581" s="18"/>
      <c r="AJ581" s="18"/>
    </row>
    <row r="582" ht="13.5" customHeight="1">
      <c r="A582" s="18"/>
      <c r="B582" s="19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20"/>
      <c r="AB582" s="18"/>
      <c r="AC582" s="18"/>
      <c r="AD582" s="18"/>
      <c r="AE582" s="18"/>
      <c r="AG582" s="18"/>
      <c r="AH582" s="18"/>
      <c r="AI582" s="18"/>
      <c r="AJ582" s="18"/>
    </row>
    <row r="583" ht="13.5" customHeight="1">
      <c r="A583" s="18"/>
      <c r="B583" s="19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20"/>
      <c r="AB583" s="18"/>
      <c r="AC583" s="18"/>
      <c r="AD583" s="18"/>
      <c r="AE583" s="18"/>
      <c r="AG583" s="18"/>
      <c r="AH583" s="18"/>
      <c r="AI583" s="18"/>
      <c r="AJ583" s="18"/>
    </row>
    <row r="584" ht="13.5" customHeight="1">
      <c r="A584" s="18"/>
      <c r="B584" s="19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20"/>
      <c r="AB584" s="18"/>
      <c r="AC584" s="18"/>
      <c r="AD584" s="18"/>
      <c r="AE584" s="18"/>
      <c r="AG584" s="18"/>
      <c r="AH584" s="18"/>
      <c r="AI584" s="18"/>
      <c r="AJ584" s="18"/>
    </row>
    <row r="585" ht="13.5" customHeight="1">
      <c r="A585" s="18"/>
      <c r="B585" s="19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20"/>
      <c r="AB585" s="18"/>
      <c r="AC585" s="18"/>
      <c r="AD585" s="18"/>
      <c r="AE585" s="18"/>
      <c r="AG585" s="18"/>
      <c r="AH585" s="18"/>
      <c r="AI585" s="18"/>
      <c r="AJ585" s="18"/>
    </row>
    <row r="586" ht="13.5" customHeight="1">
      <c r="A586" s="18"/>
      <c r="B586" s="19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20"/>
      <c r="AB586" s="18"/>
      <c r="AC586" s="18"/>
      <c r="AD586" s="18"/>
      <c r="AE586" s="18"/>
      <c r="AG586" s="18"/>
      <c r="AH586" s="18"/>
      <c r="AI586" s="18"/>
      <c r="AJ586" s="18"/>
    </row>
    <row r="587" ht="13.5" customHeight="1">
      <c r="A587" s="18"/>
      <c r="B587" s="19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20"/>
      <c r="AB587" s="18"/>
      <c r="AC587" s="18"/>
      <c r="AD587" s="18"/>
      <c r="AE587" s="18"/>
      <c r="AG587" s="18"/>
      <c r="AH587" s="18"/>
      <c r="AI587" s="18"/>
      <c r="AJ587" s="18"/>
    </row>
    <row r="588" ht="13.5" customHeight="1">
      <c r="A588" s="18"/>
      <c r="B588" s="19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20"/>
      <c r="AB588" s="18"/>
      <c r="AC588" s="18"/>
      <c r="AD588" s="18"/>
      <c r="AE588" s="18"/>
      <c r="AG588" s="18"/>
      <c r="AH588" s="18"/>
      <c r="AI588" s="18"/>
      <c r="AJ588" s="18"/>
    </row>
    <row r="589" ht="13.5" customHeight="1">
      <c r="A589" s="18"/>
      <c r="B589" s="19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20"/>
      <c r="AB589" s="18"/>
      <c r="AC589" s="18"/>
      <c r="AD589" s="18"/>
      <c r="AE589" s="18"/>
      <c r="AG589" s="18"/>
      <c r="AH589" s="18"/>
      <c r="AI589" s="18"/>
      <c r="AJ589" s="18"/>
    </row>
    <row r="590" ht="13.5" customHeight="1">
      <c r="A590" s="18"/>
      <c r="B590" s="19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20"/>
      <c r="AB590" s="18"/>
      <c r="AC590" s="18"/>
      <c r="AD590" s="18"/>
      <c r="AE590" s="18"/>
      <c r="AG590" s="18"/>
      <c r="AH590" s="18"/>
      <c r="AI590" s="18"/>
      <c r="AJ590" s="18"/>
    </row>
    <row r="591" ht="13.5" customHeight="1">
      <c r="A591" s="18"/>
      <c r="B591" s="19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20"/>
      <c r="AB591" s="18"/>
      <c r="AC591" s="18"/>
      <c r="AD591" s="18"/>
      <c r="AE591" s="18"/>
      <c r="AG591" s="18"/>
      <c r="AH591" s="18"/>
      <c r="AI591" s="18"/>
      <c r="AJ591" s="18"/>
    </row>
    <row r="592" ht="13.5" customHeight="1">
      <c r="A592" s="18"/>
      <c r="B592" s="19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20"/>
      <c r="AB592" s="18"/>
      <c r="AC592" s="18"/>
      <c r="AD592" s="18"/>
      <c r="AE592" s="18"/>
      <c r="AG592" s="18"/>
      <c r="AH592" s="18"/>
      <c r="AI592" s="18"/>
      <c r="AJ592" s="18"/>
    </row>
    <row r="593" ht="13.5" customHeight="1">
      <c r="A593" s="18"/>
      <c r="B593" s="19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20"/>
      <c r="AB593" s="18"/>
      <c r="AC593" s="18"/>
      <c r="AD593" s="18"/>
      <c r="AE593" s="18"/>
      <c r="AG593" s="18"/>
      <c r="AH593" s="18"/>
      <c r="AI593" s="18"/>
      <c r="AJ593" s="18"/>
    </row>
    <row r="594" ht="13.5" customHeight="1">
      <c r="A594" s="18"/>
      <c r="B594" s="19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20"/>
      <c r="AB594" s="18"/>
      <c r="AC594" s="18"/>
      <c r="AD594" s="18"/>
      <c r="AE594" s="18"/>
      <c r="AG594" s="18"/>
      <c r="AH594" s="18"/>
      <c r="AI594" s="18"/>
      <c r="AJ594" s="18"/>
    </row>
    <row r="595" ht="13.5" customHeight="1">
      <c r="A595" s="18"/>
      <c r="B595" s="19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20"/>
      <c r="AB595" s="18"/>
      <c r="AC595" s="18"/>
      <c r="AD595" s="18"/>
      <c r="AE595" s="18"/>
      <c r="AG595" s="18"/>
      <c r="AH595" s="18"/>
      <c r="AI595" s="18"/>
      <c r="AJ595" s="18"/>
    </row>
    <row r="596" ht="13.5" customHeight="1">
      <c r="A596" s="18"/>
      <c r="B596" s="19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20"/>
      <c r="AB596" s="18"/>
      <c r="AC596" s="18"/>
      <c r="AD596" s="18"/>
      <c r="AE596" s="18"/>
      <c r="AG596" s="18"/>
      <c r="AH596" s="18"/>
      <c r="AI596" s="18"/>
      <c r="AJ596" s="18"/>
    </row>
    <row r="597" ht="13.5" customHeight="1">
      <c r="A597" s="18"/>
      <c r="B597" s="19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20"/>
      <c r="AB597" s="18"/>
      <c r="AC597" s="18"/>
      <c r="AD597" s="18"/>
      <c r="AE597" s="18"/>
      <c r="AG597" s="18"/>
      <c r="AH597" s="18"/>
      <c r="AI597" s="18"/>
      <c r="AJ597" s="18"/>
    </row>
    <row r="598" ht="13.5" customHeight="1">
      <c r="A598" s="18"/>
      <c r="B598" s="19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20"/>
      <c r="AB598" s="18"/>
      <c r="AC598" s="18"/>
      <c r="AD598" s="18"/>
      <c r="AE598" s="18"/>
      <c r="AG598" s="18"/>
      <c r="AH598" s="18"/>
      <c r="AI598" s="18"/>
      <c r="AJ598" s="18"/>
    </row>
    <row r="599" ht="13.5" customHeight="1">
      <c r="A599" s="18"/>
      <c r="B599" s="19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20"/>
      <c r="AB599" s="18"/>
      <c r="AC599" s="18"/>
      <c r="AD599" s="18"/>
      <c r="AE599" s="18"/>
      <c r="AG599" s="18"/>
      <c r="AH599" s="18"/>
      <c r="AI599" s="18"/>
      <c r="AJ599" s="18"/>
    </row>
    <row r="600" ht="13.5" customHeight="1">
      <c r="A600" s="18"/>
      <c r="B600" s="19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20"/>
      <c r="AB600" s="18"/>
      <c r="AC600" s="18"/>
      <c r="AD600" s="18"/>
      <c r="AE600" s="18"/>
      <c r="AG600" s="18"/>
      <c r="AH600" s="18"/>
      <c r="AI600" s="18"/>
      <c r="AJ600" s="18"/>
    </row>
    <row r="601" ht="13.5" customHeight="1">
      <c r="A601" s="18"/>
      <c r="B601" s="19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20"/>
      <c r="AB601" s="18"/>
      <c r="AC601" s="18"/>
      <c r="AD601" s="18"/>
      <c r="AE601" s="18"/>
      <c r="AG601" s="18"/>
      <c r="AH601" s="18"/>
      <c r="AI601" s="18"/>
      <c r="AJ601" s="18"/>
    </row>
    <row r="602" ht="13.5" customHeight="1">
      <c r="A602" s="18"/>
      <c r="B602" s="19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20"/>
      <c r="AB602" s="18"/>
      <c r="AC602" s="18"/>
      <c r="AD602" s="18"/>
      <c r="AE602" s="18"/>
      <c r="AG602" s="18"/>
      <c r="AH602" s="18"/>
      <c r="AI602" s="18"/>
      <c r="AJ602" s="18"/>
    </row>
    <row r="603" ht="13.5" customHeight="1">
      <c r="A603" s="18"/>
      <c r="B603" s="19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20"/>
      <c r="AB603" s="18"/>
      <c r="AC603" s="18"/>
      <c r="AD603" s="18"/>
      <c r="AE603" s="18"/>
      <c r="AG603" s="18"/>
      <c r="AH603" s="18"/>
      <c r="AI603" s="18"/>
      <c r="AJ603" s="18"/>
    </row>
    <row r="604" ht="13.5" customHeight="1">
      <c r="A604" s="18"/>
      <c r="B604" s="19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20"/>
      <c r="AB604" s="18"/>
      <c r="AC604" s="18"/>
      <c r="AD604" s="18"/>
      <c r="AE604" s="18"/>
      <c r="AG604" s="18"/>
      <c r="AH604" s="18"/>
      <c r="AI604" s="18"/>
      <c r="AJ604" s="18"/>
    </row>
    <row r="605" ht="13.5" customHeight="1">
      <c r="A605" s="18"/>
      <c r="B605" s="19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20"/>
      <c r="AB605" s="18"/>
      <c r="AC605" s="18"/>
      <c r="AD605" s="18"/>
      <c r="AE605" s="18"/>
      <c r="AG605" s="18"/>
      <c r="AH605" s="18"/>
      <c r="AI605" s="18"/>
      <c r="AJ605" s="18"/>
    </row>
    <row r="606" ht="13.5" customHeight="1">
      <c r="A606" s="18"/>
      <c r="B606" s="19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20"/>
      <c r="AB606" s="18"/>
      <c r="AC606" s="18"/>
      <c r="AD606" s="18"/>
      <c r="AE606" s="18"/>
      <c r="AG606" s="18"/>
      <c r="AH606" s="18"/>
      <c r="AI606" s="18"/>
      <c r="AJ606" s="18"/>
    </row>
    <row r="607" ht="13.5" customHeight="1">
      <c r="A607" s="18"/>
      <c r="B607" s="19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20"/>
      <c r="AB607" s="18"/>
      <c r="AC607" s="18"/>
      <c r="AD607" s="18"/>
      <c r="AE607" s="18"/>
      <c r="AG607" s="18"/>
      <c r="AH607" s="18"/>
      <c r="AI607" s="18"/>
      <c r="AJ607" s="18"/>
    </row>
    <row r="608" ht="13.5" customHeight="1">
      <c r="A608" s="18"/>
      <c r="B608" s="19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20"/>
      <c r="AB608" s="18"/>
      <c r="AC608" s="18"/>
      <c r="AD608" s="18"/>
      <c r="AE608" s="18"/>
      <c r="AG608" s="18"/>
      <c r="AH608" s="18"/>
      <c r="AI608" s="18"/>
      <c r="AJ608" s="18"/>
    </row>
    <row r="609" ht="13.5" customHeight="1">
      <c r="A609" s="18"/>
      <c r="B609" s="19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20"/>
      <c r="AB609" s="18"/>
      <c r="AC609" s="18"/>
      <c r="AD609" s="18"/>
      <c r="AE609" s="18"/>
      <c r="AG609" s="18"/>
      <c r="AH609" s="18"/>
      <c r="AI609" s="18"/>
      <c r="AJ609" s="18"/>
    </row>
    <row r="610" ht="13.5" customHeight="1">
      <c r="A610" s="18"/>
      <c r="B610" s="19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20"/>
      <c r="AB610" s="18"/>
      <c r="AC610" s="18"/>
      <c r="AD610" s="18"/>
      <c r="AE610" s="18"/>
      <c r="AG610" s="18"/>
      <c r="AH610" s="18"/>
      <c r="AI610" s="18"/>
      <c r="AJ610" s="18"/>
    </row>
    <row r="611" ht="13.5" customHeight="1">
      <c r="A611" s="18"/>
      <c r="B611" s="19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20"/>
      <c r="AB611" s="18"/>
      <c r="AC611" s="18"/>
      <c r="AD611" s="18"/>
      <c r="AE611" s="18"/>
      <c r="AG611" s="18"/>
      <c r="AH611" s="18"/>
      <c r="AI611" s="18"/>
      <c r="AJ611" s="18"/>
    </row>
    <row r="612" ht="13.5" customHeight="1">
      <c r="A612" s="18"/>
      <c r="B612" s="19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20"/>
      <c r="AB612" s="18"/>
      <c r="AC612" s="18"/>
      <c r="AD612" s="18"/>
      <c r="AE612" s="18"/>
      <c r="AG612" s="18"/>
      <c r="AH612" s="18"/>
      <c r="AI612" s="18"/>
      <c r="AJ612" s="18"/>
    </row>
    <row r="613" ht="13.5" customHeight="1">
      <c r="A613" s="18"/>
      <c r="B613" s="19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20"/>
      <c r="AB613" s="18"/>
      <c r="AC613" s="18"/>
      <c r="AD613" s="18"/>
      <c r="AE613" s="18"/>
      <c r="AG613" s="18"/>
      <c r="AH613" s="18"/>
      <c r="AI613" s="18"/>
      <c r="AJ613" s="18"/>
    </row>
    <row r="614" ht="13.5" customHeight="1">
      <c r="A614" s="18"/>
      <c r="B614" s="19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20"/>
      <c r="AB614" s="18"/>
      <c r="AC614" s="18"/>
      <c r="AD614" s="18"/>
      <c r="AE614" s="18"/>
      <c r="AG614" s="18"/>
      <c r="AH614" s="18"/>
      <c r="AI614" s="18"/>
      <c r="AJ614" s="18"/>
    </row>
    <row r="615" ht="13.5" customHeight="1">
      <c r="A615" s="18"/>
      <c r="B615" s="19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20"/>
      <c r="AB615" s="18"/>
      <c r="AC615" s="18"/>
      <c r="AD615" s="18"/>
      <c r="AE615" s="18"/>
      <c r="AG615" s="18"/>
      <c r="AH615" s="18"/>
      <c r="AI615" s="18"/>
      <c r="AJ615" s="18"/>
    </row>
    <row r="616" ht="13.5" customHeight="1">
      <c r="A616" s="18"/>
      <c r="B616" s="19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20"/>
      <c r="AB616" s="18"/>
      <c r="AC616" s="18"/>
      <c r="AD616" s="18"/>
      <c r="AE616" s="18"/>
      <c r="AG616" s="18"/>
      <c r="AH616" s="18"/>
      <c r="AI616" s="18"/>
      <c r="AJ616" s="18"/>
    </row>
    <row r="617" ht="13.5" customHeight="1">
      <c r="A617" s="18"/>
      <c r="B617" s="19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20"/>
      <c r="AB617" s="18"/>
      <c r="AC617" s="18"/>
      <c r="AD617" s="18"/>
      <c r="AE617" s="18"/>
      <c r="AG617" s="18"/>
      <c r="AH617" s="18"/>
      <c r="AI617" s="18"/>
      <c r="AJ617" s="18"/>
    </row>
    <row r="618" ht="13.5" customHeight="1">
      <c r="A618" s="18"/>
      <c r="B618" s="19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20"/>
      <c r="AB618" s="18"/>
      <c r="AC618" s="18"/>
      <c r="AD618" s="18"/>
      <c r="AE618" s="18"/>
      <c r="AG618" s="18"/>
      <c r="AH618" s="18"/>
      <c r="AI618" s="18"/>
      <c r="AJ618" s="18"/>
    </row>
    <row r="619" ht="13.5" customHeight="1">
      <c r="A619" s="18"/>
      <c r="B619" s="19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20"/>
      <c r="AB619" s="18"/>
      <c r="AC619" s="18"/>
      <c r="AD619" s="18"/>
      <c r="AE619" s="18"/>
      <c r="AG619" s="18"/>
      <c r="AH619" s="18"/>
      <c r="AI619" s="18"/>
      <c r="AJ619" s="18"/>
    </row>
    <row r="620" ht="13.5" customHeight="1">
      <c r="A620" s="18"/>
      <c r="B620" s="19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20"/>
      <c r="AB620" s="18"/>
      <c r="AC620" s="18"/>
      <c r="AD620" s="18"/>
      <c r="AE620" s="18"/>
      <c r="AG620" s="18"/>
      <c r="AH620" s="18"/>
      <c r="AI620" s="18"/>
      <c r="AJ620" s="18"/>
    </row>
    <row r="621" ht="13.5" customHeight="1">
      <c r="A621" s="18"/>
      <c r="B621" s="19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20"/>
      <c r="AB621" s="18"/>
      <c r="AC621" s="18"/>
      <c r="AD621" s="18"/>
      <c r="AE621" s="18"/>
      <c r="AG621" s="18"/>
      <c r="AH621" s="18"/>
      <c r="AI621" s="18"/>
      <c r="AJ621" s="18"/>
    </row>
    <row r="622" ht="13.5" customHeight="1">
      <c r="A622" s="18"/>
      <c r="B622" s="19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20"/>
      <c r="AB622" s="18"/>
      <c r="AC622" s="18"/>
      <c r="AD622" s="18"/>
      <c r="AE622" s="18"/>
      <c r="AG622" s="18"/>
      <c r="AH622" s="18"/>
      <c r="AI622" s="18"/>
      <c r="AJ622" s="18"/>
    </row>
    <row r="623" ht="13.5" customHeight="1">
      <c r="A623" s="18"/>
      <c r="B623" s="19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20"/>
      <c r="AB623" s="18"/>
      <c r="AC623" s="18"/>
      <c r="AD623" s="18"/>
      <c r="AE623" s="18"/>
      <c r="AG623" s="18"/>
      <c r="AH623" s="18"/>
      <c r="AI623" s="18"/>
      <c r="AJ623" s="18"/>
    </row>
    <row r="624" ht="13.5" customHeight="1">
      <c r="A624" s="18"/>
      <c r="B624" s="19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20"/>
      <c r="AB624" s="18"/>
      <c r="AC624" s="18"/>
      <c r="AD624" s="18"/>
      <c r="AE624" s="18"/>
      <c r="AG624" s="18"/>
      <c r="AH624" s="18"/>
      <c r="AI624" s="18"/>
      <c r="AJ624" s="18"/>
    </row>
    <row r="625" ht="13.5" customHeight="1">
      <c r="A625" s="18"/>
      <c r="B625" s="19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20"/>
      <c r="AB625" s="18"/>
      <c r="AC625" s="18"/>
      <c r="AD625" s="18"/>
      <c r="AE625" s="18"/>
      <c r="AG625" s="18"/>
      <c r="AH625" s="18"/>
      <c r="AI625" s="18"/>
      <c r="AJ625" s="18"/>
    </row>
    <row r="626" ht="13.5" customHeight="1">
      <c r="A626" s="18"/>
      <c r="B626" s="19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20"/>
      <c r="AB626" s="18"/>
      <c r="AC626" s="18"/>
      <c r="AD626" s="18"/>
      <c r="AE626" s="18"/>
      <c r="AG626" s="18"/>
      <c r="AH626" s="18"/>
      <c r="AI626" s="18"/>
      <c r="AJ626" s="18"/>
    </row>
    <row r="627" ht="13.5" customHeight="1">
      <c r="A627" s="18"/>
      <c r="B627" s="19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20"/>
      <c r="AB627" s="18"/>
      <c r="AC627" s="18"/>
      <c r="AD627" s="18"/>
      <c r="AE627" s="18"/>
      <c r="AG627" s="18"/>
      <c r="AH627" s="18"/>
      <c r="AI627" s="18"/>
      <c r="AJ627" s="18"/>
    </row>
    <row r="628" ht="13.5" customHeight="1">
      <c r="A628" s="18"/>
      <c r="B628" s="19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20"/>
      <c r="AB628" s="18"/>
      <c r="AC628" s="18"/>
      <c r="AD628" s="18"/>
      <c r="AE628" s="18"/>
      <c r="AG628" s="18"/>
      <c r="AH628" s="18"/>
      <c r="AI628" s="18"/>
      <c r="AJ628" s="18"/>
    </row>
    <row r="629" ht="13.5" customHeight="1">
      <c r="A629" s="18"/>
      <c r="B629" s="19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20"/>
      <c r="AB629" s="18"/>
      <c r="AC629" s="18"/>
      <c r="AD629" s="18"/>
      <c r="AE629" s="18"/>
      <c r="AG629" s="18"/>
      <c r="AH629" s="18"/>
      <c r="AI629" s="18"/>
      <c r="AJ629" s="18"/>
    </row>
    <row r="630" ht="13.5" customHeight="1">
      <c r="A630" s="18"/>
      <c r="B630" s="19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20"/>
      <c r="AB630" s="18"/>
      <c r="AC630" s="18"/>
      <c r="AD630" s="18"/>
      <c r="AE630" s="18"/>
      <c r="AG630" s="18"/>
      <c r="AH630" s="18"/>
      <c r="AI630" s="18"/>
      <c r="AJ630" s="18"/>
    </row>
    <row r="631" ht="13.5" customHeight="1">
      <c r="A631" s="18"/>
      <c r="B631" s="19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20"/>
      <c r="AB631" s="18"/>
      <c r="AC631" s="18"/>
      <c r="AD631" s="18"/>
      <c r="AE631" s="18"/>
      <c r="AG631" s="18"/>
      <c r="AH631" s="18"/>
      <c r="AI631" s="18"/>
      <c r="AJ631" s="18"/>
    </row>
    <row r="632" ht="13.5" customHeight="1">
      <c r="A632" s="18"/>
      <c r="B632" s="19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20"/>
      <c r="AB632" s="18"/>
      <c r="AC632" s="18"/>
      <c r="AD632" s="18"/>
      <c r="AE632" s="18"/>
      <c r="AG632" s="18"/>
      <c r="AH632" s="18"/>
      <c r="AI632" s="18"/>
      <c r="AJ632" s="18"/>
    </row>
    <row r="633" ht="13.5" customHeight="1">
      <c r="A633" s="18"/>
      <c r="B633" s="19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20"/>
      <c r="AB633" s="18"/>
      <c r="AC633" s="18"/>
      <c r="AD633" s="18"/>
      <c r="AE633" s="18"/>
      <c r="AG633" s="18"/>
      <c r="AH633" s="18"/>
      <c r="AI633" s="18"/>
      <c r="AJ633" s="18"/>
    </row>
    <row r="634" ht="13.5" customHeight="1">
      <c r="A634" s="18"/>
      <c r="B634" s="19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20"/>
      <c r="AB634" s="18"/>
      <c r="AC634" s="18"/>
      <c r="AD634" s="18"/>
      <c r="AE634" s="18"/>
      <c r="AG634" s="18"/>
      <c r="AH634" s="18"/>
      <c r="AI634" s="18"/>
      <c r="AJ634" s="18"/>
    </row>
    <row r="635" ht="13.5" customHeight="1">
      <c r="A635" s="18"/>
      <c r="B635" s="19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20"/>
      <c r="AB635" s="18"/>
      <c r="AC635" s="18"/>
      <c r="AD635" s="18"/>
      <c r="AE635" s="18"/>
      <c r="AG635" s="18"/>
      <c r="AH635" s="18"/>
      <c r="AI635" s="18"/>
      <c r="AJ635" s="18"/>
    </row>
    <row r="636" ht="13.5" customHeight="1">
      <c r="A636" s="18"/>
      <c r="B636" s="19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20"/>
      <c r="AB636" s="18"/>
      <c r="AC636" s="18"/>
      <c r="AD636" s="18"/>
      <c r="AE636" s="18"/>
      <c r="AG636" s="18"/>
      <c r="AH636" s="18"/>
      <c r="AI636" s="18"/>
      <c r="AJ636" s="18"/>
    </row>
    <row r="637" ht="13.5" customHeight="1">
      <c r="A637" s="18"/>
      <c r="B637" s="19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20"/>
      <c r="AB637" s="18"/>
      <c r="AC637" s="18"/>
      <c r="AD637" s="18"/>
      <c r="AE637" s="18"/>
      <c r="AG637" s="18"/>
      <c r="AH637" s="18"/>
      <c r="AI637" s="18"/>
      <c r="AJ637" s="18"/>
    </row>
    <row r="638" ht="13.5" customHeight="1">
      <c r="A638" s="18"/>
      <c r="B638" s="19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20"/>
      <c r="AB638" s="18"/>
      <c r="AC638" s="18"/>
      <c r="AD638" s="18"/>
      <c r="AE638" s="18"/>
      <c r="AG638" s="18"/>
      <c r="AH638" s="18"/>
      <c r="AI638" s="18"/>
      <c r="AJ638" s="18"/>
    </row>
    <row r="639" ht="13.5" customHeight="1">
      <c r="A639" s="18"/>
      <c r="B639" s="19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20"/>
      <c r="AB639" s="18"/>
      <c r="AC639" s="18"/>
      <c r="AD639" s="18"/>
      <c r="AE639" s="18"/>
      <c r="AG639" s="18"/>
      <c r="AH639" s="18"/>
      <c r="AI639" s="18"/>
      <c r="AJ639" s="18"/>
    </row>
    <row r="640" ht="13.5" customHeight="1">
      <c r="A640" s="18"/>
      <c r="B640" s="19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20"/>
      <c r="AB640" s="18"/>
      <c r="AC640" s="18"/>
      <c r="AD640" s="18"/>
      <c r="AE640" s="18"/>
      <c r="AG640" s="18"/>
      <c r="AH640" s="18"/>
      <c r="AI640" s="18"/>
      <c r="AJ640" s="18"/>
    </row>
    <row r="641" ht="13.5" customHeight="1">
      <c r="A641" s="18"/>
      <c r="B641" s="19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20"/>
      <c r="AB641" s="18"/>
      <c r="AC641" s="18"/>
      <c r="AD641" s="18"/>
      <c r="AE641" s="18"/>
      <c r="AG641" s="18"/>
      <c r="AH641" s="18"/>
      <c r="AI641" s="18"/>
      <c r="AJ641" s="18"/>
    </row>
    <row r="642" ht="13.5" customHeight="1">
      <c r="A642" s="18"/>
      <c r="B642" s="19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20"/>
      <c r="AB642" s="18"/>
      <c r="AC642" s="18"/>
      <c r="AD642" s="18"/>
      <c r="AE642" s="18"/>
      <c r="AG642" s="18"/>
      <c r="AH642" s="18"/>
      <c r="AI642" s="18"/>
      <c r="AJ642" s="18"/>
    </row>
    <row r="643" ht="13.5" customHeight="1">
      <c r="A643" s="18"/>
      <c r="B643" s="19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20"/>
      <c r="AB643" s="18"/>
      <c r="AC643" s="18"/>
      <c r="AD643" s="18"/>
      <c r="AE643" s="18"/>
      <c r="AG643" s="18"/>
      <c r="AH643" s="18"/>
      <c r="AI643" s="18"/>
      <c r="AJ643" s="18"/>
    </row>
    <row r="644" ht="13.5" customHeight="1">
      <c r="A644" s="18"/>
      <c r="B644" s="19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20"/>
      <c r="AB644" s="18"/>
      <c r="AC644" s="18"/>
      <c r="AD644" s="18"/>
      <c r="AE644" s="18"/>
      <c r="AG644" s="18"/>
      <c r="AH644" s="18"/>
      <c r="AI644" s="18"/>
      <c r="AJ644" s="18"/>
    </row>
    <row r="645" ht="13.5" customHeight="1">
      <c r="A645" s="18"/>
      <c r="B645" s="19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20"/>
      <c r="AB645" s="18"/>
      <c r="AC645" s="18"/>
      <c r="AD645" s="18"/>
      <c r="AE645" s="18"/>
      <c r="AG645" s="18"/>
      <c r="AH645" s="18"/>
      <c r="AI645" s="18"/>
      <c r="AJ645" s="18"/>
    </row>
    <row r="646" ht="13.5" customHeight="1">
      <c r="A646" s="18"/>
      <c r="B646" s="19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20"/>
      <c r="AB646" s="18"/>
      <c r="AC646" s="18"/>
      <c r="AD646" s="18"/>
      <c r="AE646" s="18"/>
      <c r="AG646" s="18"/>
      <c r="AH646" s="18"/>
      <c r="AI646" s="18"/>
      <c r="AJ646" s="18"/>
    </row>
    <row r="647" ht="13.5" customHeight="1">
      <c r="A647" s="18"/>
      <c r="B647" s="19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20"/>
      <c r="AB647" s="18"/>
      <c r="AC647" s="18"/>
      <c r="AD647" s="18"/>
      <c r="AE647" s="18"/>
      <c r="AG647" s="18"/>
      <c r="AH647" s="18"/>
      <c r="AI647" s="18"/>
      <c r="AJ647" s="18"/>
    </row>
    <row r="648" ht="13.5" customHeight="1">
      <c r="A648" s="18"/>
      <c r="B648" s="19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20"/>
      <c r="AB648" s="18"/>
      <c r="AC648" s="18"/>
      <c r="AD648" s="18"/>
      <c r="AE648" s="18"/>
      <c r="AG648" s="18"/>
      <c r="AH648" s="18"/>
      <c r="AI648" s="18"/>
      <c r="AJ648" s="18"/>
    </row>
    <row r="649" ht="13.5" customHeight="1">
      <c r="A649" s="18"/>
      <c r="B649" s="19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20"/>
      <c r="AB649" s="18"/>
      <c r="AC649" s="18"/>
      <c r="AD649" s="18"/>
      <c r="AE649" s="18"/>
      <c r="AG649" s="18"/>
      <c r="AH649" s="18"/>
      <c r="AI649" s="18"/>
      <c r="AJ649" s="18"/>
    </row>
    <row r="650" ht="13.5" customHeight="1">
      <c r="A650" s="18"/>
      <c r="B650" s="19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20"/>
      <c r="AB650" s="18"/>
      <c r="AC650" s="18"/>
      <c r="AD650" s="18"/>
      <c r="AE650" s="18"/>
      <c r="AG650" s="18"/>
      <c r="AH650" s="18"/>
      <c r="AI650" s="18"/>
      <c r="AJ650" s="18"/>
    </row>
    <row r="651" ht="13.5" customHeight="1">
      <c r="A651" s="18"/>
      <c r="B651" s="19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20"/>
      <c r="AB651" s="18"/>
      <c r="AC651" s="18"/>
      <c r="AD651" s="18"/>
      <c r="AE651" s="18"/>
      <c r="AG651" s="18"/>
      <c r="AH651" s="18"/>
      <c r="AI651" s="18"/>
      <c r="AJ651" s="18"/>
    </row>
    <row r="652" ht="13.5" customHeight="1">
      <c r="A652" s="18"/>
      <c r="B652" s="19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20"/>
      <c r="AB652" s="18"/>
      <c r="AC652" s="18"/>
      <c r="AD652" s="18"/>
      <c r="AE652" s="18"/>
      <c r="AG652" s="18"/>
      <c r="AH652" s="18"/>
      <c r="AI652" s="18"/>
      <c r="AJ652" s="18"/>
    </row>
    <row r="653" ht="13.5" customHeight="1">
      <c r="A653" s="18"/>
      <c r="B653" s="19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20"/>
      <c r="AB653" s="18"/>
      <c r="AC653" s="18"/>
      <c r="AD653" s="18"/>
      <c r="AE653" s="18"/>
      <c r="AG653" s="18"/>
      <c r="AH653" s="18"/>
      <c r="AI653" s="18"/>
      <c r="AJ653" s="18"/>
    </row>
    <row r="654" ht="13.5" customHeight="1">
      <c r="A654" s="18"/>
      <c r="B654" s="19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20"/>
      <c r="AB654" s="18"/>
      <c r="AC654" s="18"/>
      <c r="AD654" s="18"/>
      <c r="AE654" s="18"/>
      <c r="AG654" s="18"/>
      <c r="AH654" s="18"/>
      <c r="AI654" s="18"/>
      <c r="AJ654" s="18"/>
    </row>
    <row r="655" ht="13.5" customHeight="1">
      <c r="A655" s="18"/>
      <c r="B655" s="19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20"/>
      <c r="AB655" s="18"/>
      <c r="AC655" s="18"/>
      <c r="AD655" s="18"/>
      <c r="AE655" s="18"/>
      <c r="AG655" s="18"/>
      <c r="AH655" s="18"/>
      <c r="AI655" s="18"/>
      <c r="AJ655" s="18"/>
    </row>
    <row r="656" ht="13.5" customHeight="1">
      <c r="A656" s="18"/>
      <c r="B656" s="19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20"/>
      <c r="AB656" s="18"/>
      <c r="AC656" s="18"/>
      <c r="AD656" s="18"/>
      <c r="AE656" s="18"/>
      <c r="AG656" s="18"/>
      <c r="AH656" s="18"/>
      <c r="AI656" s="18"/>
      <c r="AJ656" s="18"/>
    </row>
    <row r="657" ht="13.5" customHeight="1">
      <c r="A657" s="18"/>
      <c r="B657" s="19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20"/>
      <c r="AB657" s="18"/>
      <c r="AC657" s="18"/>
      <c r="AD657" s="18"/>
      <c r="AE657" s="18"/>
      <c r="AG657" s="18"/>
      <c r="AH657" s="18"/>
      <c r="AI657" s="18"/>
      <c r="AJ657" s="18"/>
    </row>
    <row r="658" ht="13.5" customHeight="1">
      <c r="A658" s="18"/>
      <c r="B658" s="19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20"/>
      <c r="AB658" s="18"/>
      <c r="AC658" s="18"/>
      <c r="AD658" s="18"/>
      <c r="AE658" s="18"/>
      <c r="AG658" s="18"/>
      <c r="AH658" s="18"/>
      <c r="AI658" s="18"/>
      <c r="AJ658" s="18"/>
    </row>
    <row r="659" ht="13.5" customHeight="1">
      <c r="A659" s="18"/>
      <c r="B659" s="19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20"/>
      <c r="AB659" s="18"/>
      <c r="AC659" s="18"/>
      <c r="AD659" s="18"/>
      <c r="AE659" s="18"/>
      <c r="AG659" s="18"/>
      <c r="AH659" s="18"/>
      <c r="AI659" s="18"/>
      <c r="AJ659" s="18"/>
    </row>
    <row r="660" ht="13.5" customHeight="1">
      <c r="A660" s="18"/>
      <c r="B660" s="19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20"/>
      <c r="AB660" s="18"/>
      <c r="AC660" s="18"/>
      <c r="AD660" s="18"/>
      <c r="AE660" s="18"/>
      <c r="AG660" s="18"/>
      <c r="AH660" s="18"/>
      <c r="AI660" s="18"/>
      <c r="AJ660" s="18"/>
    </row>
    <row r="661" ht="13.5" customHeight="1">
      <c r="A661" s="18"/>
      <c r="B661" s="19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20"/>
      <c r="AB661" s="18"/>
      <c r="AC661" s="18"/>
      <c r="AD661" s="18"/>
      <c r="AE661" s="18"/>
      <c r="AG661" s="18"/>
      <c r="AH661" s="18"/>
      <c r="AI661" s="18"/>
      <c r="AJ661" s="18"/>
    </row>
    <row r="662" ht="13.5" customHeight="1">
      <c r="A662" s="18"/>
      <c r="B662" s="19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20"/>
      <c r="AB662" s="18"/>
      <c r="AC662" s="18"/>
      <c r="AD662" s="18"/>
      <c r="AE662" s="18"/>
      <c r="AG662" s="18"/>
      <c r="AH662" s="18"/>
      <c r="AI662" s="18"/>
      <c r="AJ662" s="18"/>
    </row>
    <row r="663" ht="13.5" customHeight="1">
      <c r="A663" s="18"/>
      <c r="B663" s="19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20"/>
      <c r="AB663" s="18"/>
      <c r="AC663" s="18"/>
      <c r="AD663" s="18"/>
      <c r="AE663" s="18"/>
      <c r="AG663" s="18"/>
      <c r="AH663" s="18"/>
      <c r="AI663" s="18"/>
      <c r="AJ663" s="18"/>
    </row>
    <row r="664" ht="13.5" customHeight="1">
      <c r="A664" s="18"/>
      <c r="B664" s="19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20"/>
      <c r="AB664" s="18"/>
      <c r="AC664" s="18"/>
      <c r="AD664" s="18"/>
      <c r="AE664" s="18"/>
      <c r="AG664" s="18"/>
      <c r="AH664" s="18"/>
      <c r="AI664" s="18"/>
      <c r="AJ664" s="18"/>
    </row>
    <row r="665" ht="13.5" customHeight="1">
      <c r="A665" s="18"/>
      <c r="B665" s="19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20"/>
      <c r="AB665" s="18"/>
      <c r="AC665" s="18"/>
      <c r="AD665" s="18"/>
      <c r="AE665" s="18"/>
      <c r="AG665" s="18"/>
      <c r="AH665" s="18"/>
      <c r="AI665" s="18"/>
      <c r="AJ665" s="18"/>
    </row>
    <row r="666" ht="13.5" customHeight="1">
      <c r="A666" s="18"/>
      <c r="B666" s="19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20"/>
      <c r="AB666" s="18"/>
      <c r="AC666" s="18"/>
      <c r="AD666" s="18"/>
      <c r="AE666" s="18"/>
      <c r="AG666" s="18"/>
      <c r="AH666" s="18"/>
      <c r="AI666" s="18"/>
      <c r="AJ666" s="18"/>
    </row>
    <row r="667" ht="13.5" customHeight="1">
      <c r="A667" s="18"/>
      <c r="B667" s="19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20"/>
      <c r="AB667" s="18"/>
      <c r="AC667" s="18"/>
      <c r="AD667" s="18"/>
      <c r="AE667" s="18"/>
      <c r="AG667" s="18"/>
      <c r="AH667" s="18"/>
      <c r="AI667" s="18"/>
      <c r="AJ667" s="18"/>
    </row>
    <row r="668" ht="13.5" customHeight="1">
      <c r="A668" s="18"/>
      <c r="B668" s="19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20"/>
      <c r="AB668" s="18"/>
      <c r="AC668" s="18"/>
      <c r="AD668" s="18"/>
      <c r="AE668" s="18"/>
      <c r="AG668" s="18"/>
      <c r="AH668" s="18"/>
      <c r="AI668" s="18"/>
      <c r="AJ668" s="18"/>
    </row>
    <row r="669" ht="13.5" customHeight="1">
      <c r="A669" s="18"/>
      <c r="B669" s="19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20"/>
      <c r="AB669" s="18"/>
      <c r="AC669" s="18"/>
      <c r="AD669" s="18"/>
      <c r="AE669" s="18"/>
      <c r="AG669" s="18"/>
      <c r="AH669" s="18"/>
      <c r="AI669" s="18"/>
      <c r="AJ669" s="18"/>
    </row>
    <row r="670" ht="13.5" customHeight="1">
      <c r="A670" s="18"/>
      <c r="B670" s="19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20"/>
      <c r="AB670" s="18"/>
      <c r="AC670" s="18"/>
      <c r="AD670" s="18"/>
      <c r="AE670" s="18"/>
      <c r="AG670" s="18"/>
      <c r="AH670" s="18"/>
      <c r="AI670" s="18"/>
      <c r="AJ670" s="18"/>
    </row>
    <row r="671" ht="13.5" customHeight="1">
      <c r="A671" s="18"/>
      <c r="B671" s="19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20"/>
      <c r="AB671" s="18"/>
      <c r="AC671" s="18"/>
      <c r="AD671" s="18"/>
      <c r="AE671" s="18"/>
      <c r="AG671" s="18"/>
      <c r="AH671" s="18"/>
      <c r="AI671" s="18"/>
      <c r="AJ671" s="18"/>
    </row>
    <row r="672" ht="13.5" customHeight="1">
      <c r="A672" s="18"/>
      <c r="B672" s="19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20"/>
      <c r="AB672" s="18"/>
      <c r="AC672" s="18"/>
      <c r="AD672" s="18"/>
      <c r="AE672" s="18"/>
      <c r="AG672" s="18"/>
      <c r="AH672" s="18"/>
      <c r="AI672" s="18"/>
      <c r="AJ672" s="18"/>
    </row>
    <row r="673" ht="13.5" customHeight="1">
      <c r="A673" s="18"/>
      <c r="B673" s="19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20"/>
      <c r="AB673" s="18"/>
      <c r="AC673" s="18"/>
      <c r="AD673" s="18"/>
      <c r="AE673" s="18"/>
      <c r="AG673" s="18"/>
      <c r="AH673" s="18"/>
      <c r="AI673" s="18"/>
      <c r="AJ673" s="18"/>
    </row>
    <row r="674" ht="13.5" customHeight="1">
      <c r="A674" s="18"/>
      <c r="B674" s="19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20"/>
      <c r="AB674" s="18"/>
      <c r="AC674" s="18"/>
      <c r="AD674" s="18"/>
      <c r="AE674" s="18"/>
      <c r="AG674" s="18"/>
      <c r="AH674" s="18"/>
      <c r="AI674" s="18"/>
      <c r="AJ674" s="18"/>
    </row>
    <row r="675" ht="13.5" customHeight="1">
      <c r="A675" s="18"/>
      <c r="B675" s="19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20"/>
      <c r="AB675" s="18"/>
      <c r="AC675" s="18"/>
      <c r="AD675" s="18"/>
      <c r="AE675" s="18"/>
      <c r="AG675" s="18"/>
      <c r="AH675" s="18"/>
      <c r="AI675" s="18"/>
      <c r="AJ675" s="18"/>
    </row>
    <row r="676" ht="13.5" customHeight="1">
      <c r="A676" s="18"/>
      <c r="B676" s="19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20"/>
      <c r="AB676" s="18"/>
      <c r="AC676" s="18"/>
      <c r="AD676" s="18"/>
      <c r="AE676" s="18"/>
      <c r="AG676" s="18"/>
      <c r="AH676" s="18"/>
      <c r="AI676" s="18"/>
      <c r="AJ676" s="18"/>
    </row>
    <row r="677" ht="13.5" customHeight="1">
      <c r="A677" s="18"/>
      <c r="B677" s="19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20"/>
      <c r="AB677" s="18"/>
      <c r="AC677" s="18"/>
      <c r="AD677" s="18"/>
      <c r="AE677" s="18"/>
      <c r="AG677" s="18"/>
      <c r="AH677" s="18"/>
      <c r="AI677" s="18"/>
      <c r="AJ677" s="18"/>
    </row>
    <row r="678" ht="13.5" customHeight="1">
      <c r="A678" s="18"/>
      <c r="B678" s="19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20"/>
      <c r="AB678" s="18"/>
      <c r="AC678" s="18"/>
      <c r="AD678" s="18"/>
      <c r="AE678" s="18"/>
      <c r="AG678" s="18"/>
      <c r="AH678" s="18"/>
      <c r="AI678" s="18"/>
      <c r="AJ678" s="18"/>
    </row>
    <row r="679" ht="13.5" customHeight="1">
      <c r="A679" s="18"/>
      <c r="B679" s="19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20"/>
      <c r="AB679" s="18"/>
      <c r="AC679" s="18"/>
      <c r="AD679" s="18"/>
      <c r="AE679" s="18"/>
      <c r="AG679" s="18"/>
      <c r="AH679" s="18"/>
      <c r="AI679" s="18"/>
      <c r="AJ679" s="18"/>
    </row>
    <row r="680" ht="13.5" customHeight="1">
      <c r="A680" s="18"/>
      <c r="B680" s="19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20"/>
      <c r="AB680" s="18"/>
      <c r="AC680" s="18"/>
      <c r="AD680" s="18"/>
      <c r="AE680" s="18"/>
      <c r="AG680" s="18"/>
      <c r="AH680" s="18"/>
      <c r="AI680" s="18"/>
      <c r="AJ680" s="18"/>
    </row>
    <row r="681" ht="13.5" customHeight="1">
      <c r="A681" s="18"/>
      <c r="B681" s="19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20"/>
      <c r="AB681" s="18"/>
      <c r="AC681" s="18"/>
      <c r="AD681" s="18"/>
      <c r="AE681" s="18"/>
      <c r="AG681" s="18"/>
      <c r="AH681" s="18"/>
      <c r="AI681" s="18"/>
      <c r="AJ681" s="18"/>
    </row>
    <row r="682" ht="13.5" customHeight="1">
      <c r="A682" s="18"/>
      <c r="B682" s="19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20"/>
      <c r="AB682" s="18"/>
      <c r="AC682" s="18"/>
      <c r="AD682" s="18"/>
      <c r="AE682" s="18"/>
      <c r="AG682" s="18"/>
      <c r="AH682" s="18"/>
      <c r="AI682" s="18"/>
      <c r="AJ682" s="18"/>
    </row>
    <row r="683" ht="13.5" customHeight="1">
      <c r="A683" s="18"/>
      <c r="B683" s="19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20"/>
      <c r="AB683" s="18"/>
      <c r="AC683" s="18"/>
      <c r="AD683" s="18"/>
      <c r="AE683" s="18"/>
      <c r="AG683" s="18"/>
      <c r="AH683" s="18"/>
      <c r="AI683" s="18"/>
      <c r="AJ683" s="18"/>
    </row>
    <row r="684" ht="13.5" customHeight="1">
      <c r="A684" s="18"/>
      <c r="B684" s="19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20"/>
      <c r="AB684" s="18"/>
      <c r="AC684" s="18"/>
      <c r="AD684" s="18"/>
      <c r="AE684" s="18"/>
      <c r="AG684" s="18"/>
      <c r="AH684" s="18"/>
      <c r="AI684" s="18"/>
      <c r="AJ684" s="18"/>
    </row>
    <row r="685" ht="13.5" customHeight="1">
      <c r="A685" s="18"/>
      <c r="B685" s="19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20"/>
      <c r="AB685" s="18"/>
      <c r="AC685" s="18"/>
      <c r="AD685" s="18"/>
      <c r="AE685" s="18"/>
      <c r="AG685" s="18"/>
      <c r="AH685" s="18"/>
      <c r="AI685" s="18"/>
      <c r="AJ685" s="18"/>
    </row>
    <row r="686" ht="13.5" customHeight="1">
      <c r="A686" s="18"/>
      <c r="B686" s="19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20"/>
      <c r="AB686" s="18"/>
      <c r="AC686" s="18"/>
      <c r="AD686" s="18"/>
      <c r="AE686" s="18"/>
      <c r="AG686" s="18"/>
      <c r="AH686" s="18"/>
      <c r="AI686" s="18"/>
      <c r="AJ686" s="18"/>
    </row>
    <row r="687" ht="13.5" customHeight="1">
      <c r="A687" s="18"/>
      <c r="B687" s="19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20"/>
      <c r="AB687" s="18"/>
      <c r="AC687" s="18"/>
      <c r="AD687" s="18"/>
      <c r="AE687" s="18"/>
      <c r="AG687" s="18"/>
      <c r="AH687" s="18"/>
      <c r="AI687" s="18"/>
      <c r="AJ687" s="18"/>
    </row>
    <row r="688" ht="13.5" customHeight="1">
      <c r="A688" s="18"/>
      <c r="B688" s="19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20"/>
      <c r="AB688" s="18"/>
      <c r="AC688" s="18"/>
      <c r="AD688" s="18"/>
      <c r="AE688" s="18"/>
      <c r="AG688" s="18"/>
      <c r="AH688" s="18"/>
      <c r="AI688" s="18"/>
      <c r="AJ688" s="18"/>
    </row>
    <row r="689" ht="13.5" customHeight="1">
      <c r="A689" s="18"/>
      <c r="B689" s="19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20"/>
      <c r="AB689" s="18"/>
      <c r="AC689" s="18"/>
      <c r="AD689" s="18"/>
      <c r="AE689" s="18"/>
      <c r="AG689" s="18"/>
      <c r="AH689" s="18"/>
      <c r="AI689" s="18"/>
      <c r="AJ689" s="18"/>
    </row>
    <row r="690" ht="13.5" customHeight="1">
      <c r="A690" s="18"/>
      <c r="B690" s="19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20"/>
      <c r="AB690" s="18"/>
      <c r="AC690" s="18"/>
      <c r="AD690" s="18"/>
      <c r="AE690" s="18"/>
      <c r="AG690" s="18"/>
      <c r="AH690" s="18"/>
      <c r="AI690" s="18"/>
      <c r="AJ690" s="18"/>
    </row>
    <row r="691" ht="13.5" customHeight="1">
      <c r="A691" s="18"/>
      <c r="B691" s="19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20"/>
      <c r="AB691" s="18"/>
      <c r="AC691" s="18"/>
      <c r="AD691" s="18"/>
      <c r="AE691" s="18"/>
      <c r="AG691" s="18"/>
      <c r="AH691" s="18"/>
      <c r="AI691" s="18"/>
      <c r="AJ691" s="18"/>
    </row>
    <row r="692" ht="13.5" customHeight="1">
      <c r="A692" s="18"/>
      <c r="B692" s="19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20"/>
      <c r="AB692" s="18"/>
      <c r="AC692" s="18"/>
      <c r="AD692" s="18"/>
      <c r="AE692" s="18"/>
      <c r="AG692" s="18"/>
      <c r="AH692" s="18"/>
      <c r="AI692" s="18"/>
      <c r="AJ692" s="18"/>
    </row>
    <row r="693" ht="13.5" customHeight="1">
      <c r="A693" s="18"/>
      <c r="B693" s="19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20"/>
      <c r="AB693" s="18"/>
      <c r="AC693" s="18"/>
      <c r="AD693" s="18"/>
      <c r="AE693" s="18"/>
      <c r="AG693" s="18"/>
      <c r="AH693" s="18"/>
      <c r="AI693" s="18"/>
      <c r="AJ693" s="18"/>
    </row>
    <row r="694" ht="13.5" customHeight="1">
      <c r="A694" s="18"/>
      <c r="B694" s="19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20"/>
      <c r="AB694" s="18"/>
      <c r="AC694" s="18"/>
      <c r="AD694" s="18"/>
      <c r="AE694" s="18"/>
      <c r="AG694" s="18"/>
      <c r="AH694" s="18"/>
      <c r="AI694" s="18"/>
      <c r="AJ694" s="18"/>
    </row>
    <row r="695" ht="13.5" customHeight="1">
      <c r="A695" s="18"/>
      <c r="B695" s="19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20"/>
      <c r="AB695" s="18"/>
      <c r="AC695" s="18"/>
      <c r="AD695" s="18"/>
      <c r="AE695" s="18"/>
      <c r="AG695" s="18"/>
      <c r="AH695" s="18"/>
      <c r="AI695" s="18"/>
      <c r="AJ695" s="18"/>
    </row>
    <row r="696" ht="13.5" customHeight="1">
      <c r="A696" s="18"/>
      <c r="B696" s="19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20"/>
      <c r="AB696" s="18"/>
      <c r="AC696" s="18"/>
      <c r="AD696" s="18"/>
      <c r="AE696" s="18"/>
      <c r="AG696" s="18"/>
      <c r="AH696" s="18"/>
      <c r="AI696" s="18"/>
      <c r="AJ696" s="18"/>
    </row>
    <row r="697" ht="13.5" customHeight="1">
      <c r="A697" s="18"/>
      <c r="B697" s="19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20"/>
      <c r="AB697" s="18"/>
      <c r="AC697" s="18"/>
      <c r="AD697" s="18"/>
      <c r="AE697" s="18"/>
      <c r="AG697" s="18"/>
      <c r="AH697" s="18"/>
      <c r="AI697" s="18"/>
      <c r="AJ697" s="18"/>
    </row>
    <row r="698" ht="13.5" customHeight="1">
      <c r="A698" s="18"/>
      <c r="B698" s="19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20"/>
      <c r="AB698" s="18"/>
      <c r="AC698" s="18"/>
      <c r="AD698" s="18"/>
      <c r="AE698" s="18"/>
      <c r="AG698" s="18"/>
      <c r="AH698" s="18"/>
      <c r="AI698" s="18"/>
      <c r="AJ698" s="18"/>
    </row>
    <row r="699" ht="13.5" customHeight="1">
      <c r="A699" s="18"/>
      <c r="B699" s="19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20"/>
      <c r="AB699" s="18"/>
      <c r="AC699" s="18"/>
      <c r="AD699" s="18"/>
      <c r="AE699" s="18"/>
      <c r="AG699" s="18"/>
      <c r="AH699" s="18"/>
      <c r="AI699" s="18"/>
      <c r="AJ699" s="18"/>
    </row>
    <row r="700" ht="13.5" customHeight="1">
      <c r="A700" s="18"/>
      <c r="B700" s="19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20"/>
      <c r="AB700" s="18"/>
      <c r="AC700" s="18"/>
      <c r="AD700" s="18"/>
      <c r="AE700" s="18"/>
      <c r="AG700" s="18"/>
      <c r="AH700" s="18"/>
      <c r="AI700" s="18"/>
      <c r="AJ700" s="18"/>
    </row>
    <row r="701" ht="13.5" customHeight="1">
      <c r="A701" s="18"/>
      <c r="B701" s="19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20"/>
      <c r="AB701" s="18"/>
      <c r="AC701" s="18"/>
      <c r="AD701" s="18"/>
      <c r="AE701" s="18"/>
      <c r="AG701" s="18"/>
      <c r="AH701" s="18"/>
      <c r="AI701" s="18"/>
      <c r="AJ701" s="18"/>
    </row>
    <row r="702" ht="13.5" customHeight="1">
      <c r="A702" s="18"/>
      <c r="B702" s="19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20"/>
      <c r="AB702" s="18"/>
      <c r="AC702" s="18"/>
      <c r="AD702" s="18"/>
      <c r="AE702" s="18"/>
      <c r="AG702" s="18"/>
      <c r="AH702" s="18"/>
      <c r="AI702" s="18"/>
      <c r="AJ702" s="18"/>
    </row>
    <row r="703" ht="13.5" customHeight="1">
      <c r="A703" s="18"/>
      <c r="B703" s="19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20"/>
      <c r="AB703" s="18"/>
      <c r="AC703" s="18"/>
      <c r="AD703" s="18"/>
      <c r="AE703" s="18"/>
      <c r="AG703" s="18"/>
      <c r="AH703" s="18"/>
      <c r="AI703" s="18"/>
      <c r="AJ703" s="18"/>
    </row>
    <row r="704" ht="13.5" customHeight="1">
      <c r="A704" s="18"/>
      <c r="B704" s="19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20"/>
      <c r="AB704" s="18"/>
      <c r="AC704" s="18"/>
      <c r="AD704" s="18"/>
      <c r="AE704" s="18"/>
      <c r="AG704" s="18"/>
      <c r="AH704" s="18"/>
      <c r="AI704" s="18"/>
      <c r="AJ704" s="18"/>
    </row>
    <row r="705" ht="13.5" customHeight="1">
      <c r="A705" s="18"/>
      <c r="B705" s="19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20"/>
      <c r="AB705" s="18"/>
      <c r="AC705" s="18"/>
      <c r="AD705" s="18"/>
      <c r="AE705" s="18"/>
      <c r="AG705" s="18"/>
      <c r="AH705" s="18"/>
      <c r="AI705" s="18"/>
      <c r="AJ705" s="18"/>
    </row>
    <row r="706" ht="13.5" customHeight="1">
      <c r="A706" s="18"/>
      <c r="B706" s="19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20"/>
      <c r="AB706" s="18"/>
      <c r="AC706" s="18"/>
      <c r="AD706" s="18"/>
      <c r="AE706" s="18"/>
      <c r="AG706" s="18"/>
      <c r="AH706" s="18"/>
      <c r="AI706" s="18"/>
      <c r="AJ706" s="18"/>
    </row>
    <row r="707" ht="13.5" customHeight="1">
      <c r="A707" s="18"/>
      <c r="B707" s="19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20"/>
      <c r="AB707" s="18"/>
      <c r="AC707" s="18"/>
      <c r="AD707" s="18"/>
      <c r="AE707" s="18"/>
      <c r="AG707" s="18"/>
      <c r="AH707" s="18"/>
      <c r="AI707" s="18"/>
      <c r="AJ707" s="18"/>
    </row>
    <row r="708" ht="13.5" customHeight="1">
      <c r="A708" s="18"/>
      <c r="B708" s="19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20"/>
      <c r="AB708" s="18"/>
      <c r="AC708" s="18"/>
      <c r="AD708" s="18"/>
      <c r="AE708" s="18"/>
      <c r="AG708" s="18"/>
      <c r="AH708" s="18"/>
      <c r="AI708" s="18"/>
      <c r="AJ708" s="18"/>
    </row>
    <row r="709" ht="13.5" customHeight="1">
      <c r="A709" s="18"/>
      <c r="B709" s="19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20"/>
      <c r="AB709" s="18"/>
      <c r="AC709" s="18"/>
      <c r="AD709" s="18"/>
      <c r="AE709" s="18"/>
      <c r="AG709" s="18"/>
      <c r="AH709" s="18"/>
      <c r="AI709" s="18"/>
      <c r="AJ709" s="18"/>
    </row>
    <row r="710" ht="13.5" customHeight="1">
      <c r="A710" s="18"/>
      <c r="B710" s="19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20"/>
      <c r="AB710" s="18"/>
      <c r="AC710" s="18"/>
      <c r="AD710" s="18"/>
      <c r="AE710" s="18"/>
      <c r="AG710" s="18"/>
      <c r="AH710" s="18"/>
      <c r="AI710" s="18"/>
      <c r="AJ710" s="18"/>
    </row>
    <row r="711" ht="13.5" customHeight="1">
      <c r="A711" s="18"/>
      <c r="B711" s="19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20"/>
      <c r="AB711" s="18"/>
      <c r="AC711" s="18"/>
      <c r="AD711" s="18"/>
      <c r="AE711" s="18"/>
      <c r="AG711" s="18"/>
      <c r="AH711" s="18"/>
      <c r="AI711" s="18"/>
      <c r="AJ711" s="18"/>
    </row>
    <row r="712" ht="13.5" customHeight="1">
      <c r="A712" s="18"/>
      <c r="B712" s="19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20"/>
      <c r="AB712" s="18"/>
      <c r="AC712" s="18"/>
      <c r="AD712" s="18"/>
      <c r="AE712" s="18"/>
      <c r="AG712" s="18"/>
      <c r="AH712" s="18"/>
      <c r="AI712" s="18"/>
      <c r="AJ712" s="18"/>
    </row>
    <row r="713" ht="13.5" customHeight="1">
      <c r="A713" s="18"/>
      <c r="B713" s="19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20"/>
      <c r="AB713" s="18"/>
      <c r="AC713" s="18"/>
      <c r="AD713" s="18"/>
      <c r="AE713" s="18"/>
      <c r="AG713" s="18"/>
      <c r="AH713" s="18"/>
      <c r="AI713" s="18"/>
      <c r="AJ713" s="18"/>
    </row>
    <row r="714" ht="13.5" customHeight="1">
      <c r="A714" s="18"/>
      <c r="B714" s="19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20"/>
      <c r="AB714" s="18"/>
      <c r="AC714" s="18"/>
      <c r="AD714" s="18"/>
      <c r="AE714" s="18"/>
      <c r="AG714" s="18"/>
      <c r="AH714" s="18"/>
      <c r="AI714" s="18"/>
      <c r="AJ714" s="18"/>
    </row>
    <row r="715" ht="13.5" customHeight="1">
      <c r="A715" s="18"/>
      <c r="B715" s="19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20"/>
      <c r="AB715" s="18"/>
      <c r="AC715" s="18"/>
      <c r="AD715" s="18"/>
      <c r="AE715" s="18"/>
      <c r="AG715" s="18"/>
      <c r="AH715" s="18"/>
      <c r="AI715" s="18"/>
      <c r="AJ715" s="18"/>
    </row>
    <row r="716" ht="13.5" customHeight="1">
      <c r="A716" s="18"/>
      <c r="B716" s="19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20"/>
      <c r="AB716" s="18"/>
      <c r="AC716" s="18"/>
      <c r="AD716" s="18"/>
      <c r="AE716" s="18"/>
      <c r="AG716" s="18"/>
      <c r="AH716" s="18"/>
      <c r="AI716" s="18"/>
      <c r="AJ716" s="18"/>
    </row>
    <row r="717" ht="13.5" customHeight="1">
      <c r="A717" s="18"/>
      <c r="B717" s="19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20"/>
      <c r="AB717" s="18"/>
      <c r="AC717" s="18"/>
      <c r="AD717" s="18"/>
      <c r="AE717" s="18"/>
      <c r="AG717" s="18"/>
      <c r="AH717" s="18"/>
      <c r="AI717" s="18"/>
      <c r="AJ717" s="18"/>
    </row>
    <row r="718" ht="13.5" customHeight="1">
      <c r="A718" s="18"/>
      <c r="B718" s="19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20"/>
      <c r="AB718" s="18"/>
      <c r="AC718" s="18"/>
      <c r="AD718" s="18"/>
      <c r="AE718" s="18"/>
      <c r="AG718" s="18"/>
      <c r="AH718" s="18"/>
      <c r="AI718" s="18"/>
      <c r="AJ718" s="18"/>
    </row>
    <row r="719" ht="13.5" customHeight="1">
      <c r="A719" s="18"/>
      <c r="B719" s="19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20"/>
      <c r="AB719" s="18"/>
      <c r="AC719" s="18"/>
      <c r="AD719" s="18"/>
      <c r="AE719" s="18"/>
      <c r="AG719" s="18"/>
      <c r="AH719" s="18"/>
      <c r="AI719" s="18"/>
      <c r="AJ719" s="18"/>
    </row>
    <row r="720" ht="13.5" customHeight="1">
      <c r="A720" s="18"/>
      <c r="B720" s="19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20"/>
      <c r="AB720" s="18"/>
      <c r="AC720" s="18"/>
      <c r="AD720" s="18"/>
      <c r="AE720" s="18"/>
      <c r="AG720" s="18"/>
      <c r="AH720" s="18"/>
      <c r="AI720" s="18"/>
      <c r="AJ720" s="18"/>
    </row>
    <row r="721" ht="13.5" customHeight="1">
      <c r="A721" s="18"/>
      <c r="B721" s="19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20"/>
      <c r="AB721" s="18"/>
      <c r="AC721" s="18"/>
      <c r="AD721" s="18"/>
      <c r="AE721" s="18"/>
      <c r="AG721" s="18"/>
      <c r="AH721" s="18"/>
      <c r="AI721" s="18"/>
      <c r="AJ721" s="18"/>
    </row>
    <row r="722" ht="13.5" customHeight="1">
      <c r="A722" s="18"/>
      <c r="B722" s="19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20"/>
      <c r="AB722" s="18"/>
      <c r="AC722" s="18"/>
      <c r="AD722" s="18"/>
      <c r="AE722" s="18"/>
      <c r="AG722" s="18"/>
      <c r="AH722" s="18"/>
      <c r="AI722" s="18"/>
      <c r="AJ722" s="18"/>
    </row>
    <row r="723" ht="13.5" customHeight="1">
      <c r="A723" s="18"/>
      <c r="B723" s="19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20"/>
      <c r="AB723" s="18"/>
      <c r="AC723" s="18"/>
      <c r="AD723" s="18"/>
      <c r="AE723" s="18"/>
      <c r="AG723" s="18"/>
      <c r="AH723" s="18"/>
      <c r="AI723" s="18"/>
      <c r="AJ723" s="18"/>
    </row>
    <row r="724" ht="13.5" customHeight="1">
      <c r="A724" s="18"/>
      <c r="B724" s="19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20"/>
      <c r="AB724" s="18"/>
      <c r="AC724" s="18"/>
      <c r="AD724" s="18"/>
      <c r="AE724" s="18"/>
      <c r="AG724" s="18"/>
      <c r="AH724" s="18"/>
      <c r="AI724" s="18"/>
      <c r="AJ724" s="18"/>
    </row>
    <row r="725" ht="13.5" customHeight="1">
      <c r="A725" s="18"/>
      <c r="B725" s="19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20"/>
      <c r="AB725" s="18"/>
      <c r="AC725" s="18"/>
      <c r="AD725" s="18"/>
      <c r="AE725" s="18"/>
      <c r="AG725" s="18"/>
      <c r="AH725" s="18"/>
      <c r="AI725" s="18"/>
      <c r="AJ725" s="18"/>
    </row>
    <row r="726" ht="13.5" customHeight="1">
      <c r="A726" s="18"/>
      <c r="B726" s="19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20"/>
      <c r="AB726" s="18"/>
      <c r="AC726" s="18"/>
      <c r="AD726" s="18"/>
      <c r="AE726" s="18"/>
      <c r="AG726" s="18"/>
      <c r="AH726" s="18"/>
      <c r="AI726" s="18"/>
      <c r="AJ726" s="18"/>
    </row>
    <row r="727" ht="13.5" customHeight="1">
      <c r="A727" s="18"/>
      <c r="B727" s="19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20"/>
      <c r="AB727" s="18"/>
      <c r="AC727" s="18"/>
      <c r="AD727" s="18"/>
      <c r="AE727" s="18"/>
      <c r="AG727" s="18"/>
      <c r="AH727" s="18"/>
      <c r="AI727" s="18"/>
      <c r="AJ727" s="18"/>
    </row>
    <row r="728" ht="13.5" customHeight="1">
      <c r="A728" s="18"/>
      <c r="B728" s="19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20"/>
      <c r="AB728" s="18"/>
      <c r="AC728" s="18"/>
      <c r="AD728" s="18"/>
      <c r="AE728" s="18"/>
      <c r="AG728" s="18"/>
      <c r="AH728" s="18"/>
      <c r="AI728" s="18"/>
      <c r="AJ728" s="18"/>
    </row>
    <row r="729" ht="13.5" customHeight="1">
      <c r="A729" s="18"/>
      <c r="B729" s="19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20"/>
      <c r="AB729" s="18"/>
      <c r="AC729" s="18"/>
      <c r="AD729" s="18"/>
      <c r="AE729" s="18"/>
      <c r="AG729" s="18"/>
      <c r="AH729" s="18"/>
      <c r="AI729" s="18"/>
      <c r="AJ729" s="18"/>
    </row>
    <row r="730" ht="13.5" customHeight="1">
      <c r="A730" s="18"/>
      <c r="B730" s="19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20"/>
      <c r="AB730" s="18"/>
      <c r="AC730" s="18"/>
      <c r="AD730" s="18"/>
      <c r="AE730" s="18"/>
      <c r="AG730" s="18"/>
      <c r="AH730" s="18"/>
      <c r="AI730" s="18"/>
      <c r="AJ730" s="18"/>
    </row>
    <row r="731" ht="13.5" customHeight="1">
      <c r="A731" s="18"/>
      <c r="B731" s="19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20"/>
      <c r="AB731" s="18"/>
      <c r="AC731" s="18"/>
      <c r="AD731" s="18"/>
      <c r="AE731" s="18"/>
      <c r="AG731" s="18"/>
      <c r="AH731" s="18"/>
      <c r="AI731" s="18"/>
      <c r="AJ731" s="18"/>
    </row>
    <row r="732" ht="13.5" customHeight="1">
      <c r="A732" s="18"/>
      <c r="B732" s="19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20"/>
      <c r="AB732" s="18"/>
      <c r="AC732" s="18"/>
      <c r="AD732" s="18"/>
      <c r="AE732" s="18"/>
      <c r="AG732" s="18"/>
      <c r="AH732" s="18"/>
      <c r="AI732" s="18"/>
      <c r="AJ732" s="18"/>
    </row>
    <row r="733" ht="13.5" customHeight="1">
      <c r="A733" s="18"/>
      <c r="B733" s="19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20"/>
      <c r="AB733" s="18"/>
      <c r="AC733" s="18"/>
      <c r="AD733" s="18"/>
      <c r="AE733" s="18"/>
      <c r="AG733" s="18"/>
      <c r="AH733" s="18"/>
      <c r="AI733" s="18"/>
      <c r="AJ733" s="18"/>
    </row>
    <row r="734" ht="13.5" customHeight="1">
      <c r="A734" s="18"/>
      <c r="B734" s="19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20"/>
      <c r="AB734" s="18"/>
      <c r="AC734" s="18"/>
      <c r="AD734" s="18"/>
      <c r="AE734" s="18"/>
      <c r="AG734" s="18"/>
      <c r="AH734" s="18"/>
      <c r="AI734" s="18"/>
      <c r="AJ734" s="18"/>
    </row>
    <row r="735" ht="13.5" customHeight="1">
      <c r="A735" s="18"/>
      <c r="B735" s="19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20"/>
      <c r="AB735" s="18"/>
      <c r="AC735" s="18"/>
      <c r="AD735" s="18"/>
      <c r="AE735" s="18"/>
      <c r="AG735" s="18"/>
      <c r="AH735" s="18"/>
      <c r="AI735" s="18"/>
      <c r="AJ735" s="18"/>
    </row>
    <row r="736" ht="13.5" customHeight="1">
      <c r="A736" s="18"/>
      <c r="B736" s="19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20"/>
      <c r="AB736" s="18"/>
      <c r="AC736" s="18"/>
      <c r="AD736" s="18"/>
      <c r="AE736" s="18"/>
      <c r="AG736" s="18"/>
      <c r="AH736" s="18"/>
      <c r="AI736" s="18"/>
      <c r="AJ736" s="18"/>
    </row>
    <row r="737" ht="13.5" customHeight="1">
      <c r="A737" s="18"/>
      <c r="B737" s="19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20"/>
      <c r="AB737" s="18"/>
      <c r="AC737" s="18"/>
      <c r="AD737" s="18"/>
      <c r="AE737" s="18"/>
      <c r="AG737" s="18"/>
      <c r="AH737" s="18"/>
      <c r="AI737" s="18"/>
      <c r="AJ737" s="18"/>
    </row>
    <row r="738" ht="13.5" customHeight="1">
      <c r="A738" s="18"/>
      <c r="B738" s="19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20"/>
      <c r="AB738" s="18"/>
      <c r="AC738" s="18"/>
      <c r="AD738" s="18"/>
      <c r="AE738" s="18"/>
      <c r="AG738" s="18"/>
      <c r="AH738" s="18"/>
      <c r="AI738" s="18"/>
      <c r="AJ738" s="18"/>
    </row>
    <row r="739" ht="13.5" customHeight="1">
      <c r="A739" s="18"/>
      <c r="B739" s="19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20"/>
      <c r="AB739" s="18"/>
      <c r="AC739" s="18"/>
      <c r="AD739" s="18"/>
      <c r="AE739" s="18"/>
      <c r="AG739" s="18"/>
      <c r="AH739" s="18"/>
      <c r="AI739" s="18"/>
      <c r="AJ739" s="18"/>
    </row>
    <row r="740" ht="13.5" customHeight="1">
      <c r="A740" s="18"/>
      <c r="B740" s="19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20"/>
      <c r="AB740" s="18"/>
      <c r="AC740" s="18"/>
      <c r="AD740" s="18"/>
      <c r="AE740" s="18"/>
      <c r="AG740" s="18"/>
      <c r="AH740" s="18"/>
      <c r="AI740" s="18"/>
      <c r="AJ740" s="18"/>
    </row>
    <row r="741" ht="13.5" customHeight="1">
      <c r="A741" s="18"/>
      <c r="B741" s="19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20"/>
      <c r="AB741" s="18"/>
      <c r="AC741" s="18"/>
      <c r="AD741" s="18"/>
      <c r="AE741" s="18"/>
      <c r="AG741" s="18"/>
      <c r="AH741" s="18"/>
      <c r="AI741" s="18"/>
      <c r="AJ741" s="18"/>
    </row>
    <row r="742" ht="13.5" customHeight="1">
      <c r="A742" s="18"/>
      <c r="B742" s="19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20"/>
      <c r="AB742" s="18"/>
      <c r="AC742" s="18"/>
      <c r="AD742" s="18"/>
      <c r="AE742" s="18"/>
      <c r="AG742" s="18"/>
      <c r="AH742" s="18"/>
      <c r="AI742" s="18"/>
      <c r="AJ742" s="18"/>
    </row>
    <row r="743" ht="13.5" customHeight="1">
      <c r="A743" s="18"/>
      <c r="B743" s="19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20"/>
      <c r="AB743" s="18"/>
      <c r="AC743" s="18"/>
      <c r="AD743" s="18"/>
      <c r="AE743" s="18"/>
      <c r="AG743" s="18"/>
      <c r="AH743" s="18"/>
      <c r="AI743" s="18"/>
      <c r="AJ743" s="18"/>
    </row>
    <row r="744" ht="13.5" customHeight="1">
      <c r="A744" s="18"/>
      <c r="B744" s="19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20"/>
      <c r="AB744" s="18"/>
      <c r="AC744" s="18"/>
      <c r="AD744" s="18"/>
      <c r="AE744" s="18"/>
      <c r="AG744" s="18"/>
      <c r="AH744" s="18"/>
      <c r="AI744" s="18"/>
      <c r="AJ744" s="18"/>
    </row>
    <row r="745" ht="13.5" customHeight="1">
      <c r="A745" s="18"/>
      <c r="B745" s="19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20"/>
      <c r="AB745" s="18"/>
      <c r="AC745" s="18"/>
      <c r="AD745" s="18"/>
      <c r="AE745" s="18"/>
      <c r="AG745" s="18"/>
      <c r="AH745" s="18"/>
      <c r="AI745" s="18"/>
      <c r="AJ745" s="18"/>
    </row>
    <row r="746" ht="13.5" customHeight="1">
      <c r="A746" s="18"/>
      <c r="B746" s="19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20"/>
      <c r="AB746" s="18"/>
      <c r="AC746" s="18"/>
      <c r="AD746" s="18"/>
      <c r="AE746" s="18"/>
      <c r="AG746" s="18"/>
      <c r="AH746" s="18"/>
      <c r="AI746" s="18"/>
      <c r="AJ746" s="18"/>
    </row>
    <row r="747" ht="13.5" customHeight="1">
      <c r="A747" s="18"/>
      <c r="B747" s="19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20"/>
      <c r="AB747" s="18"/>
      <c r="AC747" s="18"/>
      <c r="AD747" s="18"/>
      <c r="AE747" s="18"/>
      <c r="AG747" s="18"/>
      <c r="AH747" s="18"/>
      <c r="AI747" s="18"/>
      <c r="AJ747" s="18"/>
    </row>
    <row r="748" ht="13.5" customHeight="1">
      <c r="A748" s="18"/>
      <c r="B748" s="19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20"/>
      <c r="AB748" s="18"/>
      <c r="AC748" s="18"/>
      <c r="AD748" s="18"/>
      <c r="AE748" s="18"/>
      <c r="AG748" s="18"/>
      <c r="AH748" s="18"/>
      <c r="AI748" s="18"/>
      <c r="AJ748" s="18"/>
    </row>
    <row r="749" ht="13.5" customHeight="1">
      <c r="A749" s="18"/>
      <c r="B749" s="19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20"/>
      <c r="AB749" s="18"/>
      <c r="AC749" s="18"/>
      <c r="AD749" s="18"/>
      <c r="AE749" s="18"/>
      <c r="AG749" s="18"/>
      <c r="AH749" s="18"/>
      <c r="AI749" s="18"/>
      <c r="AJ749" s="18"/>
    </row>
    <row r="750" ht="13.5" customHeight="1">
      <c r="A750" s="18"/>
      <c r="B750" s="19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20"/>
      <c r="AB750" s="18"/>
      <c r="AC750" s="18"/>
      <c r="AD750" s="18"/>
      <c r="AE750" s="18"/>
      <c r="AG750" s="18"/>
      <c r="AH750" s="18"/>
      <c r="AI750" s="18"/>
      <c r="AJ750" s="18"/>
    </row>
    <row r="751" ht="13.5" customHeight="1">
      <c r="A751" s="18"/>
      <c r="B751" s="19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20"/>
      <c r="AB751" s="18"/>
      <c r="AC751" s="18"/>
      <c r="AD751" s="18"/>
      <c r="AE751" s="18"/>
      <c r="AG751" s="18"/>
      <c r="AH751" s="18"/>
      <c r="AI751" s="18"/>
      <c r="AJ751" s="18"/>
    </row>
    <row r="752" ht="13.5" customHeight="1">
      <c r="A752" s="18"/>
      <c r="B752" s="19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20"/>
      <c r="AB752" s="18"/>
      <c r="AC752" s="18"/>
      <c r="AD752" s="18"/>
      <c r="AE752" s="18"/>
      <c r="AG752" s="18"/>
      <c r="AH752" s="18"/>
      <c r="AI752" s="18"/>
      <c r="AJ752" s="18"/>
    </row>
    <row r="753" ht="13.5" customHeight="1">
      <c r="A753" s="18"/>
      <c r="B753" s="19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20"/>
      <c r="AB753" s="18"/>
      <c r="AC753" s="18"/>
      <c r="AD753" s="18"/>
      <c r="AE753" s="18"/>
      <c r="AG753" s="18"/>
      <c r="AH753" s="18"/>
      <c r="AI753" s="18"/>
      <c r="AJ753" s="18"/>
    </row>
    <row r="754" ht="13.5" customHeight="1">
      <c r="A754" s="18"/>
      <c r="B754" s="19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20"/>
      <c r="AB754" s="18"/>
      <c r="AC754" s="18"/>
      <c r="AD754" s="18"/>
      <c r="AE754" s="18"/>
      <c r="AG754" s="18"/>
      <c r="AH754" s="18"/>
      <c r="AI754" s="18"/>
      <c r="AJ754" s="18"/>
    </row>
    <row r="755" ht="13.5" customHeight="1">
      <c r="A755" s="18"/>
      <c r="B755" s="19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20"/>
      <c r="AB755" s="18"/>
      <c r="AC755" s="18"/>
      <c r="AD755" s="18"/>
      <c r="AE755" s="18"/>
      <c r="AG755" s="18"/>
      <c r="AH755" s="18"/>
      <c r="AI755" s="18"/>
      <c r="AJ755" s="18"/>
    </row>
    <row r="756" ht="13.5" customHeight="1">
      <c r="A756" s="18"/>
      <c r="B756" s="19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20"/>
      <c r="AB756" s="18"/>
      <c r="AC756" s="18"/>
      <c r="AD756" s="18"/>
      <c r="AE756" s="18"/>
      <c r="AG756" s="18"/>
      <c r="AH756" s="18"/>
      <c r="AI756" s="18"/>
      <c r="AJ756" s="18"/>
    </row>
    <row r="757" ht="13.5" customHeight="1">
      <c r="A757" s="18"/>
      <c r="B757" s="19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20"/>
      <c r="AB757" s="18"/>
      <c r="AC757" s="18"/>
      <c r="AD757" s="18"/>
      <c r="AE757" s="18"/>
      <c r="AG757" s="18"/>
      <c r="AH757" s="18"/>
      <c r="AI757" s="18"/>
      <c r="AJ757" s="18"/>
    </row>
    <row r="758" ht="13.5" customHeight="1">
      <c r="A758" s="18"/>
      <c r="B758" s="19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20"/>
      <c r="AB758" s="18"/>
      <c r="AC758" s="18"/>
      <c r="AD758" s="18"/>
      <c r="AE758" s="18"/>
      <c r="AG758" s="18"/>
      <c r="AH758" s="18"/>
      <c r="AI758" s="18"/>
      <c r="AJ758" s="18"/>
    </row>
    <row r="759" ht="13.5" customHeight="1">
      <c r="A759" s="18"/>
      <c r="B759" s="19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20"/>
      <c r="AB759" s="18"/>
      <c r="AC759" s="18"/>
      <c r="AD759" s="18"/>
      <c r="AE759" s="18"/>
      <c r="AG759" s="18"/>
      <c r="AH759" s="18"/>
      <c r="AI759" s="18"/>
      <c r="AJ759" s="18"/>
    </row>
    <row r="760" ht="13.5" customHeight="1">
      <c r="A760" s="18"/>
      <c r="B760" s="19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20"/>
      <c r="AB760" s="18"/>
      <c r="AC760" s="18"/>
      <c r="AD760" s="18"/>
      <c r="AE760" s="18"/>
      <c r="AG760" s="18"/>
      <c r="AH760" s="18"/>
      <c r="AI760" s="18"/>
      <c r="AJ760" s="18"/>
    </row>
    <row r="761" ht="13.5" customHeight="1">
      <c r="A761" s="18"/>
      <c r="B761" s="19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20"/>
      <c r="AB761" s="18"/>
      <c r="AC761" s="18"/>
      <c r="AD761" s="18"/>
      <c r="AE761" s="18"/>
      <c r="AG761" s="18"/>
      <c r="AH761" s="18"/>
      <c r="AI761" s="18"/>
      <c r="AJ761" s="18"/>
    </row>
    <row r="762" ht="13.5" customHeight="1">
      <c r="A762" s="18"/>
      <c r="B762" s="19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20"/>
      <c r="AB762" s="18"/>
      <c r="AC762" s="18"/>
      <c r="AD762" s="18"/>
      <c r="AE762" s="18"/>
      <c r="AG762" s="18"/>
      <c r="AH762" s="18"/>
      <c r="AI762" s="18"/>
      <c r="AJ762" s="18"/>
    </row>
    <row r="763" ht="13.5" customHeight="1">
      <c r="A763" s="18"/>
      <c r="B763" s="19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20"/>
      <c r="AB763" s="18"/>
      <c r="AC763" s="18"/>
      <c r="AD763" s="18"/>
      <c r="AE763" s="18"/>
      <c r="AG763" s="18"/>
      <c r="AH763" s="18"/>
      <c r="AI763" s="18"/>
      <c r="AJ763" s="18"/>
    </row>
    <row r="764" ht="13.5" customHeight="1">
      <c r="A764" s="18"/>
      <c r="B764" s="19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20"/>
      <c r="AB764" s="18"/>
      <c r="AC764" s="18"/>
      <c r="AD764" s="18"/>
      <c r="AE764" s="18"/>
      <c r="AG764" s="18"/>
      <c r="AH764" s="18"/>
      <c r="AI764" s="18"/>
      <c r="AJ764" s="18"/>
    </row>
    <row r="765" ht="13.5" customHeight="1">
      <c r="A765" s="18"/>
      <c r="B765" s="19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20"/>
      <c r="AB765" s="18"/>
      <c r="AC765" s="18"/>
      <c r="AD765" s="18"/>
      <c r="AE765" s="18"/>
      <c r="AG765" s="18"/>
      <c r="AH765" s="18"/>
      <c r="AI765" s="18"/>
      <c r="AJ765" s="18"/>
    </row>
    <row r="766" ht="13.5" customHeight="1">
      <c r="A766" s="18"/>
      <c r="B766" s="19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20"/>
      <c r="AB766" s="18"/>
      <c r="AC766" s="18"/>
      <c r="AD766" s="18"/>
      <c r="AE766" s="18"/>
      <c r="AG766" s="18"/>
      <c r="AH766" s="18"/>
      <c r="AI766" s="18"/>
      <c r="AJ766" s="18"/>
    </row>
    <row r="767" ht="13.5" customHeight="1">
      <c r="A767" s="18"/>
      <c r="B767" s="19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20"/>
      <c r="AB767" s="18"/>
      <c r="AC767" s="18"/>
      <c r="AD767" s="18"/>
      <c r="AE767" s="18"/>
      <c r="AG767" s="18"/>
      <c r="AH767" s="18"/>
      <c r="AI767" s="18"/>
      <c r="AJ767" s="18"/>
    </row>
    <row r="768" ht="13.5" customHeight="1">
      <c r="A768" s="18"/>
      <c r="B768" s="19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20"/>
      <c r="AB768" s="18"/>
      <c r="AC768" s="18"/>
      <c r="AD768" s="18"/>
      <c r="AE768" s="18"/>
      <c r="AG768" s="18"/>
      <c r="AH768" s="18"/>
      <c r="AI768" s="18"/>
      <c r="AJ768" s="18"/>
    </row>
    <row r="769" ht="13.5" customHeight="1">
      <c r="A769" s="18"/>
      <c r="B769" s="19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20"/>
      <c r="AB769" s="18"/>
      <c r="AC769" s="18"/>
      <c r="AD769" s="18"/>
      <c r="AE769" s="18"/>
      <c r="AG769" s="18"/>
      <c r="AH769" s="18"/>
      <c r="AI769" s="18"/>
      <c r="AJ769" s="18"/>
    </row>
    <row r="770" ht="13.5" customHeight="1">
      <c r="A770" s="18"/>
      <c r="B770" s="19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20"/>
      <c r="AB770" s="18"/>
      <c r="AC770" s="18"/>
      <c r="AD770" s="18"/>
      <c r="AE770" s="18"/>
      <c r="AG770" s="18"/>
      <c r="AH770" s="18"/>
      <c r="AI770" s="18"/>
      <c r="AJ770" s="18"/>
    </row>
    <row r="771" ht="13.5" customHeight="1">
      <c r="A771" s="18"/>
      <c r="B771" s="19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20"/>
      <c r="AB771" s="18"/>
      <c r="AC771" s="18"/>
      <c r="AD771" s="18"/>
      <c r="AE771" s="18"/>
      <c r="AG771" s="18"/>
      <c r="AH771" s="18"/>
      <c r="AI771" s="18"/>
      <c r="AJ771" s="18"/>
    </row>
    <row r="772" ht="13.5" customHeight="1">
      <c r="A772" s="18"/>
      <c r="B772" s="19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20"/>
      <c r="AB772" s="18"/>
      <c r="AC772" s="18"/>
      <c r="AD772" s="18"/>
      <c r="AE772" s="18"/>
      <c r="AG772" s="18"/>
      <c r="AH772" s="18"/>
      <c r="AI772" s="18"/>
      <c r="AJ772" s="18"/>
    </row>
    <row r="773" ht="13.5" customHeight="1">
      <c r="A773" s="18"/>
      <c r="B773" s="19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20"/>
      <c r="AB773" s="18"/>
      <c r="AC773" s="18"/>
      <c r="AD773" s="18"/>
      <c r="AE773" s="18"/>
      <c r="AG773" s="18"/>
      <c r="AH773" s="18"/>
      <c r="AI773" s="18"/>
      <c r="AJ773" s="18"/>
    </row>
    <row r="774" ht="13.5" customHeight="1">
      <c r="A774" s="18"/>
      <c r="B774" s="19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20"/>
      <c r="AB774" s="18"/>
      <c r="AC774" s="18"/>
      <c r="AD774" s="18"/>
      <c r="AE774" s="18"/>
      <c r="AG774" s="18"/>
      <c r="AH774" s="18"/>
      <c r="AI774" s="18"/>
      <c r="AJ774" s="18"/>
    </row>
    <row r="775" ht="13.5" customHeight="1">
      <c r="A775" s="18"/>
      <c r="B775" s="19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20"/>
      <c r="AB775" s="18"/>
      <c r="AC775" s="18"/>
      <c r="AD775" s="18"/>
      <c r="AE775" s="18"/>
      <c r="AG775" s="18"/>
      <c r="AH775" s="18"/>
      <c r="AI775" s="18"/>
      <c r="AJ775" s="18"/>
    </row>
    <row r="776" ht="13.5" customHeight="1">
      <c r="A776" s="18"/>
      <c r="B776" s="19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20"/>
      <c r="AB776" s="18"/>
      <c r="AC776" s="18"/>
      <c r="AD776" s="18"/>
      <c r="AE776" s="18"/>
      <c r="AG776" s="18"/>
      <c r="AH776" s="18"/>
      <c r="AI776" s="18"/>
      <c r="AJ776" s="18"/>
    </row>
    <row r="777" ht="13.5" customHeight="1">
      <c r="A777" s="18"/>
      <c r="B777" s="19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20"/>
      <c r="AB777" s="18"/>
      <c r="AC777" s="18"/>
      <c r="AD777" s="18"/>
      <c r="AE777" s="18"/>
      <c r="AG777" s="18"/>
      <c r="AH777" s="18"/>
      <c r="AI777" s="18"/>
      <c r="AJ777" s="18"/>
    </row>
    <row r="778" ht="13.5" customHeight="1">
      <c r="A778" s="18"/>
      <c r="B778" s="19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20"/>
      <c r="AB778" s="18"/>
      <c r="AC778" s="18"/>
      <c r="AD778" s="18"/>
      <c r="AE778" s="18"/>
      <c r="AG778" s="18"/>
      <c r="AH778" s="18"/>
      <c r="AI778" s="18"/>
      <c r="AJ778" s="18"/>
    </row>
    <row r="779" ht="13.5" customHeight="1">
      <c r="A779" s="18"/>
      <c r="B779" s="19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20"/>
      <c r="AB779" s="18"/>
      <c r="AC779" s="18"/>
      <c r="AD779" s="18"/>
      <c r="AE779" s="18"/>
      <c r="AG779" s="18"/>
      <c r="AH779" s="18"/>
      <c r="AI779" s="18"/>
      <c r="AJ779" s="18"/>
    </row>
    <row r="780" ht="13.5" customHeight="1">
      <c r="A780" s="18"/>
      <c r="B780" s="19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20"/>
      <c r="AB780" s="18"/>
      <c r="AC780" s="18"/>
      <c r="AD780" s="18"/>
      <c r="AE780" s="18"/>
      <c r="AG780" s="18"/>
      <c r="AH780" s="18"/>
      <c r="AI780" s="18"/>
      <c r="AJ780" s="18"/>
    </row>
    <row r="781" ht="13.5" customHeight="1">
      <c r="A781" s="18"/>
      <c r="B781" s="19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20"/>
      <c r="AB781" s="18"/>
      <c r="AC781" s="18"/>
      <c r="AD781" s="18"/>
      <c r="AE781" s="18"/>
      <c r="AG781" s="18"/>
      <c r="AH781" s="18"/>
      <c r="AI781" s="18"/>
      <c r="AJ781" s="18"/>
    </row>
    <row r="782" ht="13.5" customHeight="1">
      <c r="A782" s="18"/>
      <c r="B782" s="19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20"/>
      <c r="AB782" s="18"/>
      <c r="AC782" s="18"/>
      <c r="AD782" s="18"/>
      <c r="AE782" s="18"/>
      <c r="AG782" s="18"/>
      <c r="AH782" s="18"/>
      <c r="AI782" s="18"/>
      <c r="AJ782" s="18"/>
    </row>
    <row r="783" ht="13.5" customHeight="1">
      <c r="A783" s="18"/>
      <c r="B783" s="19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20"/>
      <c r="AB783" s="18"/>
      <c r="AC783" s="18"/>
      <c r="AD783" s="18"/>
      <c r="AE783" s="18"/>
      <c r="AG783" s="18"/>
      <c r="AH783" s="18"/>
      <c r="AI783" s="18"/>
      <c r="AJ783" s="18"/>
    </row>
    <row r="784" ht="13.5" customHeight="1">
      <c r="A784" s="18"/>
      <c r="B784" s="19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20"/>
      <c r="AB784" s="18"/>
      <c r="AC784" s="18"/>
      <c r="AD784" s="18"/>
      <c r="AE784" s="18"/>
      <c r="AG784" s="18"/>
      <c r="AH784" s="18"/>
      <c r="AI784" s="18"/>
      <c r="AJ784" s="18"/>
    </row>
    <row r="785" ht="13.5" customHeight="1">
      <c r="A785" s="18"/>
      <c r="B785" s="19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20"/>
      <c r="AB785" s="18"/>
      <c r="AC785" s="18"/>
      <c r="AD785" s="18"/>
      <c r="AE785" s="18"/>
      <c r="AG785" s="18"/>
      <c r="AH785" s="18"/>
      <c r="AI785" s="18"/>
      <c r="AJ785" s="18"/>
    </row>
    <row r="786" ht="13.5" customHeight="1">
      <c r="A786" s="18"/>
      <c r="B786" s="19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20"/>
      <c r="AB786" s="18"/>
      <c r="AC786" s="18"/>
      <c r="AD786" s="18"/>
      <c r="AE786" s="18"/>
      <c r="AG786" s="18"/>
      <c r="AH786" s="18"/>
      <c r="AI786" s="18"/>
      <c r="AJ786" s="18"/>
    </row>
    <row r="787" ht="13.5" customHeight="1">
      <c r="A787" s="18"/>
      <c r="B787" s="19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20"/>
      <c r="AB787" s="18"/>
      <c r="AC787" s="18"/>
      <c r="AD787" s="18"/>
      <c r="AE787" s="18"/>
      <c r="AG787" s="18"/>
      <c r="AH787" s="18"/>
      <c r="AI787" s="18"/>
      <c r="AJ787" s="18"/>
    </row>
    <row r="788" ht="13.5" customHeight="1">
      <c r="A788" s="18"/>
      <c r="B788" s="19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20"/>
      <c r="AB788" s="18"/>
      <c r="AC788" s="18"/>
      <c r="AD788" s="18"/>
      <c r="AE788" s="18"/>
      <c r="AG788" s="18"/>
      <c r="AH788" s="18"/>
      <c r="AI788" s="18"/>
      <c r="AJ788" s="18"/>
    </row>
    <row r="789" ht="13.5" customHeight="1">
      <c r="A789" s="18"/>
      <c r="B789" s="19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20"/>
      <c r="AB789" s="18"/>
      <c r="AC789" s="18"/>
      <c r="AD789" s="18"/>
      <c r="AE789" s="18"/>
      <c r="AG789" s="18"/>
      <c r="AH789" s="18"/>
      <c r="AI789" s="18"/>
      <c r="AJ789" s="18"/>
    </row>
    <row r="790" ht="13.5" customHeight="1">
      <c r="A790" s="18"/>
      <c r="B790" s="19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20"/>
      <c r="AB790" s="18"/>
      <c r="AC790" s="18"/>
      <c r="AD790" s="18"/>
      <c r="AE790" s="18"/>
      <c r="AG790" s="18"/>
      <c r="AH790" s="18"/>
      <c r="AI790" s="18"/>
      <c r="AJ790" s="18"/>
    </row>
    <row r="791" ht="13.5" customHeight="1">
      <c r="A791" s="18"/>
      <c r="B791" s="19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20"/>
      <c r="AB791" s="18"/>
      <c r="AC791" s="18"/>
      <c r="AD791" s="18"/>
      <c r="AE791" s="18"/>
      <c r="AG791" s="18"/>
      <c r="AH791" s="18"/>
      <c r="AI791" s="18"/>
      <c r="AJ791" s="18"/>
    </row>
    <row r="792" ht="13.5" customHeight="1">
      <c r="A792" s="18"/>
      <c r="B792" s="19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20"/>
      <c r="AB792" s="18"/>
      <c r="AC792" s="18"/>
      <c r="AD792" s="18"/>
      <c r="AE792" s="18"/>
      <c r="AG792" s="18"/>
      <c r="AH792" s="18"/>
      <c r="AI792" s="18"/>
      <c r="AJ792" s="18"/>
    </row>
    <row r="793" ht="13.5" customHeight="1">
      <c r="A793" s="18"/>
      <c r="B793" s="19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20"/>
      <c r="AB793" s="18"/>
      <c r="AC793" s="18"/>
      <c r="AD793" s="18"/>
      <c r="AE793" s="18"/>
      <c r="AG793" s="18"/>
      <c r="AH793" s="18"/>
      <c r="AI793" s="18"/>
      <c r="AJ793" s="18"/>
    </row>
    <row r="794" ht="13.5" customHeight="1">
      <c r="A794" s="18"/>
      <c r="B794" s="19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20"/>
      <c r="AB794" s="18"/>
      <c r="AC794" s="18"/>
      <c r="AD794" s="18"/>
      <c r="AE794" s="18"/>
      <c r="AG794" s="18"/>
      <c r="AH794" s="18"/>
      <c r="AI794" s="18"/>
      <c r="AJ794" s="18"/>
    </row>
    <row r="795" ht="13.5" customHeight="1">
      <c r="A795" s="18"/>
      <c r="B795" s="19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20"/>
      <c r="AB795" s="18"/>
      <c r="AC795" s="18"/>
      <c r="AD795" s="18"/>
      <c r="AE795" s="18"/>
      <c r="AG795" s="18"/>
      <c r="AH795" s="18"/>
      <c r="AI795" s="18"/>
      <c r="AJ795" s="18"/>
    </row>
    <row r="796" ht="13.5" customHeight="1">
      <c r="A796" s="18"/>
      <c r="B796" s="19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20"/>
      <c r="AB796" s="18"/>
      <c r="AC796" s="18"/>
      <c r="AD796" s="18"/>
      <c r="AE796" s="18"/>
      <c r="AG796" s="18"/>
      <c r="AH796" s="18"/>
      <c r="AI796" s="18"/>
      <c r="AJ796" s="18"/>
    </row>
    <row r="797" ht="13.5" customHeight="1">
      <c r="A797" s="18"/>
      <c r="B797" s="19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20"/>
      <c r="AB797" s="18"/>
      <c r="AC797" s="18"/>
      <c r="AD797" s="18"/>
      <c r="AE797" s="18"/>
      <c r="AG797" s="18"/>
      <c r="AH797" s="18"/>
      <c r="AI797" s="18"/>
      <c r="AJ797" s="18"/>
    </row>
    <row r="798" ht="13.5" customHeight="1">
      <c r="A798" s="18"/>
      <c r="B798" s="19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20"/>
      <c r="AB798" s="18"/>
      <c r="AC798" s="18"/>
      <c r="AD798" s="18"/>
      <c r="AE798" s="18"/>
      <c r="AG798" s="18"/>
      <c r="AH798" s="18"/>
      <c r="AI798" s="18"/>
      <c r="AJ798" s="18"/>
    </row>
    <row r="799" ht="13.5" customHeight="1">
      <c r="A799" s="18"/>
      <c r="B799" s="19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20"/>
      <c r="AB799" s="18"/>
      <c r="AC799" s="18"/>
      <c r="AD799" s="18"/>
      <c r="AE799" s="18"/>
      <c r="AG799" s="18"/>
      <c r="AH799" s="18"/>
      <c r="AI799" s="18"/>
      <c r="AJ799" s="18"/>
    </row>
    <row r="800" ht="13.5" customHeight="1">
      <c r="A800" s="18"/>
      <c r="B800" s="19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20"/>
      <c r="AB800" s="18"/>
      <c r="AC800" s="18"/>
      <c r="AD800" s="18"/>
      <c r="AE800" s="18"/>
      <c r="AG800" s="18"/>
      <c r="AH800" s="18"/>
      <c r="AI800" s="18"/>
      <c r="AJ800" s="18"/>
    </row>
    <row r="801" ht="13.5" customHeight="1">
      <c r="A801" s="18"/>
      <c r="B801" s="19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20"/>
      <c r="AB801" s="18"/>
      <c r="AC801" s="18"/>
      <c r="AD801" s="18"/>
      <c r="AE801" s="18"/>
      <c r="AG801" s="18"/>
      <c r="AH801" s="18"/>
      <c r="AI801" s="18"/>
      <c r="AJ801" s="18"/>
    </row>
    <row r="802" ht="13.5" customHeight="1">
      <c r="A802" s="18"/>
      <c r="B802" s="19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20"/>
      <c r="AB802" s="18"/>
      <c r="AC802" s="18"/>
      <c r="AD802" s="18"/>
      <c r="AE802" s="18"/>
      <c r="AG802" s="18"/>
      <c r="AH802" s="18"/>
      <c r="AI802" s="18"/>
      <c r="AJ802" s="18"/>
    </row>
    <row r="803" ht="13.5" customHeight="1">
      <c r="A803" s="18"/>
      <c r="B803" s="19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20"/>
      <c r="AB803" s="18"/>
      <c r="AC803" s="18"/>
      <c r="AD803" s="18"/>
      <c r="AE803" s="18"/>
      <c r="AG803" s="18"/>
      <c r="AH803" s="18"/>
      <c r="AI803" s="18"/>
      <c r="AJ803" s="18"/>
    </row>
    <row r="804" ht="13.5" customHeight="1">
      <c r="A804" s="18"/>
      <c r="B804" s="19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20"/>
      <c r="AB804" s="18"/>
      <c r="AC804" s="18"/>
      <c r="AD804" s="18"/>
      <c r="AE804" s="18"/>
      <c r="AG804" s="18"/>
      <c r="AH804" s="18"/>
      <c r="AI804" s="18"/>
      <c r="AJ804" s="18"/>
    </row>
    <row r="805" ht="13.5" customHeight="1">
      <c r="A805" s="18"/>
      <c r="B805" s="19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20"/>
      <c r="AB805" s="18"/>
      <c r="AC805" s="18"/>
      <c r="AD805" s="18"/>
      <c r="AE805" s="18"/>
      <c r="AG805" s="18"/>
      <c r="AH805" s="18"/>
      <c r="AI805" s="18"/>
      <c r="AJ805" s="18"/>
    </row>
    <row r="806" ht="13.5" customHeight="1">
      <c r="A806" s="18"/>
      <c r="B806" s="19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20"/>
      <c r="AB806" s="18"/>
      <c r="AC806" s="18"/>
      <c r="AD806" s="18"/>
      <c r="AE806" s="18"/>
      <c r="AG806" s="18"/>
      <c r="AH806" s="18"/>
      <c r="AI806" s="18"/>
      <c r="AJ806" s="18"/>
    </row>
    <row r="807" ht="13.5" customHeight="1">
      <c r="A807" s="18"/>
      <c r="B807" s="19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20"/>
      <c r="AB807" s="18"/>
      <c r="AC807" s="18"/>
      <c r="AD807" s="18"/>
      <c r="AE807" s="18"/>
      <c r="AG807" s="18"/>
      <c r="AH807" s="18"/>
      <c r="AI807" s="18"/>
      <c r="AJ807" s="18"/>
    </row>
    <row r="808" ht="13.5" customHeight="1">
      <c r="A808" s="18"/>
      <c r="B808" s="19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20"/>
      <c r="AB808" s="18"/>
      <c r="AC808" s="18"/>
      <c r="AD808" s="18"/>
      <c r="AE808" s="18"/>
      <c r="AG808" s="18"/>
      <c r="AH808" s="18"/>
      <c r="AI808" s="18"/>
      <c r="AJ808" s="18"/>
    </row>
    <row r="809" ht="13.5" customHeight="1">
      <c r="A809" s="18"/>
      <c r="B809" s="19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20"/>
      <c r="AB809" s="18"/>
      <c r="AC809" s="18"/>
      <c r="AD809" s="18"/>
      <c r="AE809" s="18"/>
      <c r="AG809" s="18"/>
      <c r="AH809" s="18"/>
      <c r="AI809" s="18"/>
      <c r="AJ809" s="18"/>
    </row>
    <row r="810" ht="13.5" customHeight="1">
      <c r="A810" s="18"/>
      <c r="B810" s="19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20"/>
      <c r="AB810" s="18"/>
      <c r="AC810" s="18"/>
      <c r="AD810" s="18"/>
      <c r="AE810" s="18"/>
      <c r="AG810" s="18"/>
      <c r="AH810" s="18"/>
      <c r="AI810" s="18"/>
      <c r="AJ810" s="18"/>
    </row>
    <row r="811" ht="13.5" customHeight="1">
      <c r="A811" s="18"/>
      <c r="B811" s="19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20"/>
      <c r="AB811" s="18"/>
      <c r="AC811" s="18"/>
      <c r="AD811" s="18"/>
      <c r="AE811" s="18"/>
      <c r="AG811" s="18"/>
      <c r="AH811" s="18"/>
      <c r="AI811" s="18"/>
      <c r="AJ811" s="18"/>
    </row>
    <row r="812" ht="13.5" customHeight="1">
      <c r="A812" s="18"/>
      <c r="B812" s="19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20"/>
      <c r="AB812" s="18"/>
      <c r="AC812" s="18"/>
      <c r="AD812" s="18"/>
      <c r="AE812" s="18"/>
      <c r="AG812" s="18"/>
      <c r="AH812" s="18"/>
      <c r="AI812" s="18"/>
      <c r="AJ812" s="18"/>
    </row>
    <row r="813" ht="13.5" customHeight="1">
      <c r="A813" s="18"/>
      <c r="B813" s="19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20"/>
      <c r="AB813" s="18"/>
      <c r="AC813" s="18"/>
      <c r="AD813" s="18"/>
      <c r="AE813" s="18"/>
      <c r="AG813" s="18"/>
      <c r="AH813" s="18"/>
      <c r="AI813" s="18"/>
      <c r="AJ813" s="18"/>
    </row>
    <row r="814" ht="13.5" customHeight="1">
      <c r="A814" s="18"/>
      <c r="B814" s="19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20"/>
      <c r="AB814" s="18"/>
      <c r="AC814" s="18"/>
      <c r="AD814" s="18"/>
      <c r="AE814" s="18"/>
      <c r="AG814" s="18"/>
      <c r="AH814" s="18"/>
      <c r="AI814" s="18"/>
      <c r="AJ814" s="18"/>
    </row>
    <row r="815" ht="13.5" customHeight="1">
      <c r="A815" s="18"/>
      <c r="B815" s="19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20"/>
      <c r="AB815" s="18"/>
      <c r="AC815" s="18"/>
      <c r="AD815" s="18"/>
      <c r="AE815" s="18"/>
      <c r="AG815" s="18"/>
      <c r="AH815" s="18"/>
      <c r="AI815" s="18"/>
      <c r="AJ815" s="18"/>
    </row>
    <row r="816" ht="13.5" customHeight="1">
      <c r="A816" s="18"/>
      <c r="B816" s="19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20"/>
      <c r="AB816" s="18"/>
      <c r="AC816" s="18"/>
      <c r="AD816" s="18"/>
      <c r="AE816" s="18"/>
      <c r="AG816" s="18"/>
      <c r="AH816" s="18"/>
      <c r="AI816" s="18"/>
      <c r="AJ816" s="18"/>
    </row>
    <row r="817" ht="13.5" customHeight="1">
      <c r="A817" s="18"/>
      <c r="B817" s="19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20"/>
      <c r="AB817" s="18"/>
      <c r="AC817" s="18"/>
      <c r="AD817" s="18"/>
      <c r="AE817" s="18"/>
      <c r="AG817" s="18"/>
      <c r="AH817" s="18"/>
      <c r="AI817" s="18"/>
      <c r="AJ817" s="18"/>
    </row>
    <row r="818" ht="13.5" customHeight="1">
      <c r="A818" s="18"/>
      <c r="B818" s="19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20"/>
      <c r="AB818" s="18"/>
      <c r="AC818" s="18"/>
      <c r="AD818" s="18"/>
      <c r="AE818" s="18"/>
      <c r="AG818" s="18"/>
      <c r="AH818" s="18"/>
      <c r="AI818" s="18"/>
      <c r="AJ818" s="18"/>
    </row>
    <row r="819" ht="13.5" customHeight="1">
      <c r="A819" s="18"/>
      <c r="B819" s="19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20"/>
      <c r="AB819" s="18"/>
      <c r="AC819" s="18"/>
      <c r="AD819" s="18"/>
      <c r="AE819" s="18"/>
      <c r="AG819" s="18"/>
      <c r="AH819" s="18"/>
      <c r="AI819" s="18"/>
      <c r="AJ819" s="18"/>
    </row>
    <row r="820" ht="13.5" customHeight="1">
      <c r="A820" s="18"/>
      <c r="B820" s="19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20"/>
      <c r="AB820" s="18"/>
      <c r="AC820" s="18"/>
      <c r="AD820" s="18"/>
      <c r="AE820" s="18"/>
      <c r="AG820" s="18"/>
      <c r="AH820" s="18"/>
      <c r="AI820" s="18"/>
      <c r="AJ820" s="18"/>
    </row>
    <row r="821" ht="13.5" customHeight="1">
      <c r="A821" s="18"/>
      <c r="B821" s="19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20"/>
      <c r="AB821" s="18"/>
      <c r="AC821" s="18"/>
      <c r="AD821" s="18"/>
      <c r="AE821" s="18"/>
      <c r="AG821" s="18"/>
      <c r="AH821" s="18"/>
      <c r="AI821" s="18"/>
      <c r="AJ821" s="18"/>
    </row>
    <row r="822" ht="13.5" customHeight="1">
      <c r="A822" s="18"/>
      <c r="B822" s="19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20"/>
      <c r="AB822" s="18"/>
      <c r="AC822" s="18"/>
      <c r="AD822" s="18"/>
      <c r="AE822" s="18"/>
      <c r="AG822" s="18"/>
      <c r="AH822" s="18"/>
      <c r="AI822" s="18"/>
      <c r="AJ822" s="18"/>
    </row>
    <row r="823" ht="13.5" customHeight="1">
      <c r="A823" s="18"/>
      <c r="B823" s="19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20"/>
      <c r="AB823" s="18"/>
      <c r="AC823" s="18"/>
      <c r="AD823" s="18"/>
      <c r="AE823" s="18"/>
      <c r="AG823" s="18"/>
      <c r="AH823" s="18"/>
      <c r="AI823" s="18"/>
      <c r="AJ823" s="18"/>
    </row>
    <row r="824" ht="13.5" customHeight="1">
      <c r="A824" s="18"/>
      <c r="B824" s="19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20"/>
      <c r="AB824" s="18"/>
      <c r="AC824" s="18"/>
      <c r="AD824" s="18"/>
      <c r="AE824" s="18"/>
      <c r="AG824" s="18"/>
      <c r="AH824" s="18"/>
      <c r="AI824" s="18"/>
      <c r="AJ824" s="18"/>
    </row>
    <row r="825" ht="13.5" customHeight="1">
      <c r="A825" s="18"/>
      <c r="B825" s="19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20"/>
      <c r="AB825" s="18"/>
      <c r="AC825" s="18"/>
      <c r="AD825" s="18"/>
      <c r="AE825" s="18"/>
      <c r="AG825" s="18"/>
      <c r="AH825" s="18"/>
      <c r="AI825" s="18"/>
      <c r="AJ825" s="18"/>
    </row>
    <row r="826" ht="13.5" customHeight="1">
      <c r="A826" s="18"/>
      <c r="B826" s="19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20"/>
      <c r="AB826" s="18"/>
      <c r="AC826" s="18"/>
      <c r="AD826" s="18"/>
      <c r="AE826" s="18"/>
      <c r="AG826" s="18"/>
      <c r="AH826" s="18"/>
      <c r="AI826" s="18"/>
      <c r="AJ826" s="18"/>
    </row>
    <row r="827" ht="13.5" customHeight="1">
      <c r="A827" s="18"/>
      <c r="B827" s="19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20"/>
      <c r="AB827" s="18"/>
      <c r="AC827" s="18"/>
      <c r="AD827" s="18"/>
      <c r="AE827" s="18"/>
      <c r="AG827" s="18"/>
      <c r="AH827" s="18"/>
      <c r="AI827" s="18"/>
      <c r="AJ827" s="18"/>
    </row>
    <row r="828" ht="13.5" customHeight="1">
      <c r="A828" s="18"/>
      <c r="B828" s="19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20"/>
      <c r="AB828" s="18"/>
      <c r="AC828" s="18"/>
      <c r="AD828" s="18"/>
      <c r="AE828" s="18"/>
      <c r="AG828" s="18"/>
      <c r="AH828" s="18"/>
      <c r="AI828" s="18"/>
      <c r="AJ828" s="18"/>
    </row>
    <row r="829" ht="13.5" customHeight="1">
      <c r="A829" s="18"/>
      <c r="B829" s="19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20"/>
      <c r="AB829" s="18"/>
      <c r="AC829" s="18"/>
      <c r="AD829" s="18"/>
      <c r="AE829" s="18"/>
      <c r="AG829" s="18"/>
      <c r="AH829" s="18"/>
      <c r="AI829" s="18"/>
      <c r="AJ829" s="18"/>
    </row>
    <row r="830" ht="13.5" customHeight="1">
      <c r="A830" s="18"/>
      <c r="B830" s="19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20"/>
      <c r="AB830" s="18"/>
      <c r="AC830" s="18"/>
      <c r="AD830" s="18"/>
      <c r="AE830" s="18"/>
      <c r="AG830" s="18"/>
      <c r="AH830" s="18"/>
      <c r="AI830" s="18"/>
      <c r="AJ830" s="18"/>
    </row>
    <row r="831" ht="13.5" customHeight="1">
      <c r="A831" s="18"/>
      <c r="B831" s="19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20"/>
      <c r="AB831" s="18"/>
      <c r="AC831" s="18"/>
      <c r="AD831" s="18"/>
      <c r="AE831" s="18"/>
      <c r="AG831" s="18"/>
      <c r="AH831" s="18"/>
      <c r="AI831" s="18"/>
      <c r="AJ831" s="18"/>
    </row>
    <row r="832" ht="13.5" customHeight="1">
      <c r="A832" s="18"/>
      <c r="B832" s="19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20"/>
      <c r="AB832" s="18"/>
      <c r="AC832" s="18"/>
      <c r="AD832" s="18"/>
      <c r="AE832" s="18"/>
      <c r="AG832" s="18"/>
      <c r="AH832" s="18"/>
      <c r="AI832" s="18"/>
      <c r="AJ832" s="18"/>
    </row>
    <row r="833" ht="13.5" customHeight="1">
      <c r="A833" s="18"/>
      <c r="B833" s="19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20"/>
      <c r="AB833" s="18"/>
      <c r="AC833" s="18"/>
      <c r="AD833" s="18"/>
      <c r="AE833" s="18"/>
      <c r="AG833" s="18"/>
      <c r="AH833" s="18"/>
      <c r="AI833" s="18"/>
      <c r="AJ833" s="18"/>
    </row>
    <row r="834" ht="13.5" customHeight="1">
      <c r="A834" s="18"/>
      <c r="B834" s="19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20"/>
      <c r="AB834" s="18"/>
      <c r="AC834" s="18"/>
      <c r="AD834" s="18"/>
      <c r="AE834" s="18"/>
      <c r="AG834" s="18"/>
      <c r="AH834" s="18"/>
      <c r="AI834" s="18"/>
      <c r="AJ834" s="18"/>
    </row>
    <row r="835" ht="13.5" customHeight="1">
      <c r="A835" s="18"/>
      <c r="B835" s="19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20"/>
      <c r="AB835" s="18"/>
      <c r="AC835" s="18"/>
      <c r="AD835" s="18"/>
      <c r="AE835" s="18"/>
      <c r="AG835" s="18"/>
      <c r="AH835" s="18"/>
      <c r="AI835" s="18"/>
      <c r="AJ835" s="18"/>
    </row>
    <row r="836" ht="13.5" customHeight="1">
      <c r="A836" s="18"/>
      <c r="B836" s="19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20"/>
      <c r="AB836" s="18"/>
      <c r="AC836" s="18"/>
      <c r="AD836" s="18"/>
      <c r="AE836" s="18"/>
      <c r="AG836" s="18"/>
      <c r="AH836" s="18"/>
      <c r="AI836" s="18"/>
      <c r="AJ836" s="18"/>
    </row>
    <row r="837" ht="13.5" customHeight="1">
      <c r="A837" s="18"/>
      <c r="B837" s="19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20"/>
      <c r="AB837" s="18"/>
      <c r="AC837" s="18"/>
      <c r="AD837" s="18"/>
      <c r="AE837" s="18"/>
      <c r="AG837" s="18"/>
      <c r="AH837" s="18"/>
      <c r="AI837" s="18"/>
      <c r="AJ837" s="18"/>
    </row>
    <row r="838" ht="13.5" customHeight="1">
      <c r="A838" s="18"/>
      <c r="B838" s="19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20"/>
      <c r="AB838" s="18"/>
      <c r="AC838" s="18"/>
      <c r="AD838" s="18"/>
      <c r="AE838" s="18"/>
      <c r="AG838" s="18"/>
      <c r="AH838" s="18"/>
      <c r="AI838" s="18"/>
      <c r="AJ838" s="18"/>
    </row>
    <row r="839" ht="13.5" customHeight="1">
      <c r="A839" s="18"/>
      <c r="B839" s="19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20"/>
      <c r="AB839" s="18"/>
      <c r="AC839" s="18"/>
      <c r="AD839" s="18"/>
      <c r="AE839" s="18"/>
      <c r="AG839" s="18"/>
      <c r="AH839" s="18"/>
      <c r="AI839" s="18"/>
      <c r="AJ839" s="18"/>
    </row>
    <row r="840" ht="13.5" customHeight="1">
      <c r="A840" s="18"/>
      <c r="B840" s="19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20"/>
      <c r="AB840" s="18"/>
      <c r="AC840" s="18"/>
      <c r="AD840" s="18"/>
      <c r="AE840" s="18"/>
      <c r="AG840" s="18"/>
      <c r="AH840" s="18"/>
      <c r="AI840" s="18"/>
      <c r="AJ840" s="18"/>
    </row>
    <row r="841" ht="13.5" customHeight="1">
      <c r="A841" s="18"/>
      <c r="B841" s="19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20"/>
      <c r="AB841" s="18"/>
      <c r="AC841" s="18"/>
      <c r="AD841" s="18"/>
      <c r="AE841" s="18"/>
      <c r="AG841" s="18"/>
      <c r="AH841" s="18"/>
      <c r="AI841" s="18"/>
      <c r="AJ841" s="18"/>
    </row>
    <row r="842" ht="13.5" customHeight="1">
      <c r="A842" s="18"/>
      <c r="B842" s="19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20"/>
      <c r="AB842" s="18"/>
      <c r="AC842" s="18"/>
      <c r="AD842" s="18"/>
      <c r="AE842" s="18"/>
      <c r="AG842" s="18"/>
      <c r="AH842" s="18"/>
      <c r="AI842" s="18"/>
      <c r="AJ842" s="18"/>
    </row>
    <row r="843" ht="13.5" customHeight="1">
      <c r="A843" s="18"/>
      <c r="B843" s="19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20"/>
      <c r="AB843" s="18"/>
      <c r="AC843" s="18"/>
      <c r="AD843" s="18"/>
      <c r="AE843" s="18"/>
      <c r="AG843" s="18"/>
      <c r="AH843" s="18"/>
      <c r="AI843" s="18"/>
      <c r="AJ843" s="18"/>
    </row>
    <row r="844" ht="13.5" customHeight="1">
      <c r="A844" s="18"/>
      <c r="B844" s="19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20"/>
      <c r="AB844" s="18"/>
      <c r="AC844" s="18"/>
      <c r="AD844" s="18"/>
      <c r="AE844" s="18"/>
      <c r="AG844" s="18"/>
      <c r="AH844" s="18"/>
      <c r="AI844" s="18"/>
      <c r="AJ844" s="18"/>
    </row>
    <row r="845" ht="13.5" customHeight="1">
      <c r="A845" s="18"/>
      <c r="B845" s="19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20"/>
      <c r="AB845" s="18"/>
      <c r="AC845" s="18"/>
      <c r="AD845" s="18"/>
      <c r="AE845" s="18"/>
      <c r="AG845" s="18"/>
      <c r="AH845" s="18"/>
      <c r="AI845" s="18"/>
      <c r="AJ845" s="18"/>
    </row>
    <row r="846" ht="13.5" customHeight="1">
      <c r="A846" s="18"/>
      <c r="B846" s="19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20"/>
      <c r="AB846" s="18"/>
      <c r="AC846" s="18"/>
      <c r="AD846" s="18"/>
      <c r="AE846" s="18"/>
      <c r="AG846" s="18"/>
      <c r="AH846" s="18"/>
      <c r="AI846" s="18"/>
      <c r="AJ846" s="18"/>
    </row>
    <row r="847" ht="13.5" customHeight="1">
      <c r="A847" s="18"/>
      <c r="B847" s="19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20"/>
      <c r="AB847" s="18"/>
      <c r="AC847" s="18"/>
      <c r="AD847" s="18"/>
      <c r="AE847" s="18"/>
      <c r="AG847" s="18"/>
      <c r="AH847" s="18"/>
      <c r="AI847" s="18"/>
      <c r="AJ847" s="18"/>
    </row>
    <row r="848" ht="13.5" customHeight="1">
      <c r="A848" s="18"/>
      <c r="B848" s="19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20"/>
      <c r="AB848" s="18"/>
      <c r="AC848" s="18"/>
      <c r="AD848" s="18"/>
      <c r="AE848" s="18"/>
      <c r="AG848" s="18"/>
      <c r="AH848" s="18"/>
      <c r="AI848" s="18"/>
      <c r="AJ848" s="18"/>
    </row>
    <row r="849" ht="13.5" customHeight="1">
      <c r="A849" s="18"/>
      <c r="B849" s="19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20"/>
      <c r="AB849" s="18"/>
      <c r="AC849" s="18"/>
      <c r="AD849" s="18"/>
      <c r="AE849" s="18"/>
      <c r="AG849" s="18"/>
      <c r="AH849" s="18"/>
      <c r="AI849" s="18"/>
      <c r="AJ849" s="18"/>
    </row>
    <row r="850" ht="13.5" customHeight="1">
      <c r="A850" s="18"/>
      <c r="B850" s="19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20"/>
      <c r="AB850" s="18"/>
      <c r="AC850" s="18"/>
      <c r="AD850" s="18"/>
      <c r="AE850" s="18"/>
      <c r="AG850" s="18"/>
      <c r="AH850" s="18"/>
      <c r="AI850" s="18"/>
      <c r="AJ850" s="18"/>
    </row>
    <row r="851" ht="13.5" customHeight="1">
      <c r="A851" s="18"/>
      <c r="B851" s="19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20"/>
      <c r="AB851" s="18"/>
      <c r="AC851" s="18"/>
      <c r="AD851" s="18"/>
      <c r="AE851" s="18"/>
      <c r="AG851" s="18"/>
      <c r="AH851" s="18"/>
      <c r="AI851" s="18"/>
      <c r="AJ851" s="18"/>
    </row>
    <row r="852" ht="13.5" customHeight="1">
      <c r="A852" s="18"/>
      <c r="B852" s="19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20"/>
      <c r="AB852" s="18"/>
      <c r="AC852" s="18"/>
      <c r="AD852" s="18"/>
      <c r="AE852" s="18"/>
      <c r="AG852" s="18"/>
      <c r="AH852" s="18"/>
      <c r="AI852" s="18"/>
      <c r="AJ852" s="18"/>
    </row>
    <row r="853" ht="13.5" customHeight="1">
      <c r="A853" s="18"/>
      <c r="B853" s="19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20"/>
      <c r="AB853" s="18"/>
      <c r="AC853" s="18"/>
      <c r="AD853" s="18"/>
      <c r="AE853" s="18"/>
      <c r="AG853" s="18"/>
      <c r="AH853" s="18"/>
      <c r="AI853" s="18"/>
      <c r="AJ853" s="18"/>
    </row>
    <row r="854" ht="13.5" customHeight="1">
      <c r="A854" s="18"/>
      <c r="B854" s="19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20"/>
      <c r="AB854" s="18"/>
      <c r="AC854" s="18"/>
      <c r="AD854" s="18"/>
      <c r="AE854" s="18"/>
      <c r="AG854" s="18"/>
      <c r="AH854" s="18"/>
      <c r="AI854" s="18"/>
      <c r="AJ854" s="18"/>
    </row>
    <row r="855" ht="13.5" customHeight="1">
      <c r="A855" s="18"/>
      <c r="B855" s="19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20"/>
      <c r="AB855" s="18"/>
      <c r="AC855" s="18"/>
      <c r="AD855" s="18"/>
      <c r="AE855" s="18"/>
      <c r="AG855" s="18"/>
      <c r="AH855" s="18"/>
      <c r="AI855" s="18"/>
      <c r="AJ855" s="18"/>
    </row>
    <row r="856" ht="13.5" customHeight="1">
      <c r="A856" s="18"/>
      <c r="B856" s="19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20"/>
      <c r="AB856" s="18"/>
      <c r="AC856" s="18"/>
      <c r="AD856" s="18"/>
      <c r="AE856" s="18"/>
      <c r="AG856" s="18"/>
      <c r="AH856" s="18"/>
      <c r="AI856" s="18"/>
      <c r="AJ856" s="18"/>
    </row>
    <row r="857" ht="13.5" customHeight="1">
      <c r="A857" s="18"/>
      <c r="B857" s="19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20"/>
      <c r="AB857" s="18"/>
      <c r="AC857" s="18"/>
      <c r="AD857" s="18"/>
      <c r="AE857" s="18"/>
      <c r="AG857" s="18"/>
      <c r="AH857" s="18"/>
      <c r="AI857" s="18"/>
      <c r="AJ857" s="18"/>
    </row>
    <row r="858" ht="13.5" customHeight="1">
      <c r="A858" s="18"/>
      <c r="B858" s="19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20"/>
      <c r="AB858" s="18"/>
      <c r="AC858" s="18"/>
      <c r="AD858" s="18"/>
      <c r="AE858" s="18"/>
      <c r="AG858" s="18"/>
      <c r="AH858" s="18"/>
      <c r="AI858" s="18"/>
      <c r="AJ858" s="18"/>
    </row>
    <row r="859" ht="13.5" customHeight="1">
      <c r="A859" s="18"/>
      <c r="B859" s="19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20"/>
      <c r="AB859" s="18"/>
      <c r="AC859" s="18"/>
      <c r="AD859" s="18"/>
      <c r="AE859" s="18"/>
      <c r="AG859" s="18"/>
      <c r="AH859" s="18"/>
      <c r="AI859" s="18"/>
      <c r="AJ859" s="18"/>
    </row>
    <row r="860" ht="13.5" customHeight="1">
      <c r="A860" s="18"/>
      <c r="B860" s="19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20"/>
      <c r="AB860" s="18"/>
      <c r="AC860" s="18"/>
      <c r="AD860" s="18"/>
      <c r="AE860" s="18"/>
      <c r="AG860" s="18"/>
      <c r="AH860" s="18"/>
      <c r="AI860" s="18"/>
      <c r="AJ860" s="18"/>
    </row>
    <row r="861" ht="13.5" customHeight="1">
      <c r="A861" s="18"/>
      <c r="B861" s="19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20"/>
      <c r="AB861" s="18"/>
      <c r="AC861" s="18"/>
      <c r="AD861" s="18"/>
      <c r="AE861" s="18"/>
      <c r="AG861" s="18"/>
      <c r="AH861" s="18"/>
      <c r="AI861" s="18"/>
      <c r="AJ861" s="18"/>
    </row>
    <row r="862" ht="13.5" customHeight="1">
      <c r="A862" s="18"/>
      <c r="B862" s="19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20"/>
      <c r="AB862" s="18"/>
      <c r="AC862" s="18"/>
      <c r="AD862" s="18"/>
      <c r="AE862" s="18"/>
      <c r="AG862" s="18"/>
      <c r="AH862" s="18"/>
      <c r="AI862" s="18"/>
      <c r="AJ862" s="18"/>
    </row>
    <row r="863" ht="13.5" customHeight="1">
      <c r="A863" s="18"/>
      <c r="B863" s="19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20"/>
      <c r="AB863" s="18"/>
      <c r="AC863" s="18"/>
      <c r="AD863" s="18"/>
      <c r="AE863" s="18"/>
      <c r="AG863" s="18"/>
      <c r="AH863" s="18"/>
      <c r="AI863" s="18"/>
      <c r="AJ863" s="18"/>
    </row>
    <row r="864" ht="13.5" customHeight="1">
      <c r="A864" s="18"/>
      <c r="B864" s="19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20"/>
      <c r="AB864" s="18"/>
      <c r="AC864" s="18"/>
      <c r="AD864" s="18"/>
      <c r="AE864" s="18"/>
      <c r="AG864" s="18"/>
      <c r="AH864" s="18"/>
      <c r="AI864" s="18"/>
      <c r="AJ864" s="18"/>
    </row>
    <row r="865" ht="13.5" customHeight="1">
      <c r="A865" s="18"/>
      <c r="B865" s="19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20"/>
      <c r="AB865" s="18"/>
      <c r="AC865" s="18"/>
      <c r="AD865" s="18"/>
      <c r="AE865" s="18"/>
      <c r="AG865" s="18"/>
      <c r="AH865" s="18"/>
      <c r="AI865" s="18"/>
      <c r="AJ865" s="18"/>
    </row>
    <row r="866" ht="13.5" customHeight="1">
      <c r="A866" s="18"/>
      <c r="B866" s="19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20"/>
      <c r="AB866" s="18"/>
      <c r="AC866" s="18"/>
      <c r="AD866" s="18"/>
      <c r="AE866" s="18"/>
      <c r="AG866" s="18"/>
      <c r="AH866" s="18"/>
      <c r="AI866" s="18"/>
      <c r="AJ866" s="18"/>
    </row>
    <row r="867" ht="13.5" customHeight="1">
      <c r="A867" s="18"/>
      <c r="B867" s="19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20"/>
      <c r="AB867" s="18"/>
      <c r="AC867" s="18"/>
      <c r="AD867" s="18"/>
      <c r="AE867" s="18"/>
      <c r="AG867" s="18"/>
      <c r="AH867" s="18"/>
      <c r="AI867" s="18"/>
      <c r="AJ867" s="18"/>
    </row>
    <row r="868" ht="13.5" customHeight="1">
      <c r="A868" s="18"/>
      <c r="B868" s="19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20"/>
      <c r="AB868" s="18"/>
      <c r="AC868" s="18"/>
      <c r="AD868" s="18"/>
      <c r="AE868" s="18"/>
      <c r="AG868" s="18"/>
      <c r="AH868" s="18"/>
      <c r="AI868" s="18"/>
      <c r="AJ868" s="18"/>
    </row>
    <row r="869" ht="13.5" customHeight="1">
      <c r="A869" s="18"/>
      <c r="B869" s="19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20"/>
      <c r="AB869" s="18"/>
      <c r="AC869" s="18"/>
      <c r="AD869" s="18"/>
      <c r="AE869" s="18"/>
      <c r="AG869" s="18"/>
      <c r="AH869" s="18"/>
      <c r="AI869" s="18"/>
      <c r="AJ869" s="18"/>
    </row>
    <row r="870" ht="13.5" customHeight="1">
      <c r="A870" s="18"/>
      <c r="B870" s="19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20"/>
      <c r="AB870" s="18"/>
      <c r="AC870" s="18"/>
      <c r="AD870" s="18"/>
      <c r="AE870" s="18"/>
      <c r="AG870" s="18"/>
      <c r="AH870" s="18"/>
      <c r="AI870" s="18"/>
      <c r="AJ870" s="18"/>
    </row>
    <row r="871" ht="13.5" customHeight="1">
      <c r="A871" s="18"/>
      <c r="B871" s="19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20"/>
      <c r="AB871" s="18"/>
      <c r="AC871" s="18"/>
      <c r="AD871" s="18"/>
      <c r="AE871" s="18"/>
      <c r="AG871" s="18"/>
      <c r="AH871" s="18"/>
      <c r="AI871" s="18"/>
      <c r="AJ871" s="18"/>
    </row>
    <row r="872" ht="13.5" customHeight="1">
      <c r="A872" s="18"/>
      <c r="B872" s="19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20"/>
      <c r="AB872" s="18"/>
      <c r="AC872" s="18"/>
      <c r="AD872" s="18"/>
      <c r="AE872" s="18"/>
      <c r="AG872" s="18"/>
      <c r="AH872" s="18"/>
      <c r="AI872" s="18"/>
      <c r="AJ872" s="18"/>
    </row>
    <row r="873" ht="13.5" customHeight="1">
      <c r="A873" s="18"/>
      <c r="B873" s="19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20"/>
      <c r="AB873" s="18"/>
      <c r="AC873" s="18"/>
      <c r="AD873" s="18"/>
      <c r="AE873" s="18"/>
      <c r="AG873" s="18"/>
      <c r="AH873" s="18"/>
      <c r="AI873" s="18"/>
      <c r="AJ873" s="18"/>
    </row>
    <row r="874" ht="13.5" customHeight="1">
      <c r="A874" s="18"/>
      <c r="B874" s="19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20"/>
      <c r="AB874" s="18"/>
      <c r="AC874" s="18"/>
      <c r="AD874" s="18"/>
      <c r="AE874" s="18"/>
      <c r="AG874" s="18"/>
      <c r="AH874" s="18"/>
      <c r="AI874" s="18"/>
      <c r="AJ874" s="18"/>
    </row>
    <row r="875" ht="13.5" customHeight="1">
      <c r="A875" s="18"/>
      <c r="B875" s="19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20"/>
      <c r="AB875" s="18"/>
      <c r="AC875" s="18"/>
      <c r="AD875" s="18"/>
      <c r="AE875" s="18"/>
      <c r="AG875" s="18"/>
      <c r="AH875" s="18"/>
      <c r="AI875" s="18"/>
      <c r="AJ875" s="18"/>
    </row>
    <row r="876" ht="13.5" customHeight="1">
      <c r="A876" s="18"/>
      <c r="B876" s="19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20"/>
      <c r="AB876" s="18"/>
      <c r="AC876" s="18"/>
      <c r="AD876" s="18"/>
      <c r="AE876" s="18"/>
      <c r="AG876" s="18"/>
      <c r="AH876" s="18"/>
      <c r="AI876" s="18"/>
      <c r="AJ876" s="18"/>
    </row>
    <row r="877" ht="13.5" customHeight="1">
      <c r="A877" s="18"/>
      <c r="B877" s="19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20"/>
      <c r="AB877" s="18"/>
      <c r="AC877" s="18"/>
      <c r="AD877" s="18"/>
      <c r="AE877" s="18"/>
      <c r="AG877" s="18"/>
      <c r="AH877" s="18"/>
      <c r="AI877" s="18"/>
      <c r="AJ877" s="18"/>
    </row>
    <row r="878" ht="13.5" customHeight="1">
      <c r="A878" s="18"/>
      <c r="B878" s="19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20"/>
      <c r="AB878" s="18"/>
      <c r="AC878" s="18"/>
      <c r="AD878" s="18"/>
      <c r="AE878" s="18"/>
      <c r="AG878" s="18"/>
      <c r="AH878" s="18"/>
      <c r="AI878" s="18"/>
      <c r="AJ878" s="18"/>
    </row>
    <row r="879" ht="13.5" customHeight="1">
      <c r="A879" s="18"/>
      <c r="B879" s="19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20"/>
      <c r="AB879" s="18"/>
      <c r="AC879" s="18"/>
      <c r="AD879" s="18"/>
      <c r="AE879" s="18"/>
      <c r="AG879" s="18"/>
      <c r="AH879" s="18"/>
      <c r="AI879" s="18"/>
      <c r="AJ879" s="18"/>
    </row>
    <row r="880" ht="13.5" customHeight="1">
      <c r="A880" s="18"/>
      <c r="B880" s="19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20"/>
      <c r="AB880" s="18"/>
      <c r="AC880" s="18"/>
      <c r="AD880" s="18"/>
      <c r="AE880" s="18"/>
      <c r="AG880" s="18"/>
      <c r="AH880" s="18"/>
      <c r="AI880" s="18"/>
      <c r="AJ880" s="18"/>
    </row>
    <row r="881" ht="13.5" customHeight="1">
      <c r="A881" s="18"/>
      <c r="B881" s="19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20"/>
      <c r="AB881" s="18"/>
      <c r="AC881" s="18"/>
      <c r="AD881" s="18"/>
      <c r="AE881" s="18"/>
      <c r="AG881" s="18"/>
      <c r="AH881" s="18"/>
      <c r="AI881" s="18"/>
      <c r="AJ881" s="18"/>
    </row>
    <row r="882" ht="13.5" customHeight="1">
      <c r="A882" s="18"/>
      <c r="B882" s="19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20"/>
      <c r="AB882" s="18"/>
      <c r="AC882" s="18"/>
      <c r="AD882" s="18"/>
      <c r="AE882" s="18"/>
      <c r="AG882" s="18"/>
      <c r="AH882" s="18"/>
      <c r="AI882" s="18"/>
      <c r="AJ882" s="18"/>
    </row>
    <row r="883" ht="13.5" customHeight="1">
      <c r="A883" s="18"/>
      <c r="B883" s="19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20"/>
      <c r="AB883" s="18"/>
      <c r="AC883" s="18"/>
      <c r="AD883" s="18"/>
      <c r="AE883" s="18"/>
      <c r="AG883" s="18"/>
      <c r="AH883" s="18"/>
      <c r="AI883" s="18"/>
      <c r="AJ883" s="18"/>
    </row>
    <row r="884" ht="13.5" customHeight="1">
      <c r="A884" s="18"/>
      <c r="B884" s="19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20"/>
      <c r="AB884" s="18"/>
      <c r="AC884" s="18"/>
      <c r="AD884" s="18"/>
      <c r="AE884" s="18"/>
      <c r="AG884" s="18"/>
      <c r="AH884" s="18"/>
      <c r="AI884" s="18"/>
      <c r="AJ884" s="18"/>
    </row>
    <row r="885" ht="13.5" customHeight="1">
      <c r="A885" s="18"/>
      <c r="B885" s="19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20"/>
      <c r="AB885" s="18"/>
      <c r="AC885" s="18"/>
      <c r="AD885" s="18"/>
      <c r="AE885" s="18"/>
      <c r="AG885" s="18"/>
      <c r="AH885" s="18"/>
      <c r="AI885" s="18"/>
      <c r="AJ885" s="18"/>
    </row>
    <row r="886" ht="13.5" customHeight="1">
      <c r="A886" s="18"/>
      <c r="B886" s="19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20"/>
      <c r="AB886" s="18"/>
      <c r="AC886" s="18"/>
      <c r="AD886" s="18"/>
      <c r="AE886" s="18"/>
      <c r="AG886" s="18"/>
      <c r="AH886" s="18"/>
      <c r="AI886" s="18"/>
      <c r="AJ886" s="18"/>
    </row>
    <row r="887" ht="13.5" customHeight="1">
      <c r="A887" s="18"/>
      <c r="B887" s="19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20"/>
      <c r="AB887" s="18"/>
      <c r="AC887" s="18"/>
      <c r="AD887" s="18"/>
      <c r="AE887" s="18"/>
      <c r="AG887" s="18"/>
      <c r="AH887" s="18"/>
      <c r="AI887" s="18"/>
      <c r="AJ887" s="18"/>
    </row>
    <row r="888" ht="13.5" customHeight="1">
      <c r="A888" s="18"/>
      <c r="B888" s="19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20"/>
      <c r="AB888" s="18"/>
      <c r="AC888" s="18"/>
      <c r="AD888" s="18"/>
      <c r="AE888" s="18"/>
      <c r="AG888" s="18"/>
      <c r="AH888" s="18"/>
      <c r="AI888" s="18"/>
      <c r="AJ888" s="18"/>
    </row>
    <row r="889" ht="13.5" customHeight="1">
      <c r="A889" s="18"/>
      <c r="B889" s="19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20"/>
      <c r="AB889" s="18"/>
      <c r="AC889" s="18"/>
      <c r="AD889" s="18"/>
      <c r="AE889" s="18"/>
      <c r="AG889" s="18"/>
      <c r="AH889" s="18"/>
      <c r="AI889" s="18"/>
      <c r="AJ889" s="18"/>
    </row>
    <row r="890" ht="13.5" customHeight="1">
      <c r="A890" s="18"/>
      <c r="B890" s="19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20"/>
      <c r="AB890" s="18"/>
      <c r="AC890" s="18"/>
      <c r="AD890" s="18"/>
      <c r="AE890" s="18"/>
      <c r="AG890" s="18"/>
      <c r="AH890" s="18"/>
      <c r="AI890" s="18"/>
      <c r="AJ890" s="18"/>
    </row>
    <row r="891" ht="13.5" customHeight="1">
      <c r="A891" s="18"/>
      <c r="B891" s="19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20"/>
      <c r="AB891" s="18"/>
      <c r="AC891" s="18"/>
      <c r="AD891" s="18"/>
      <c r="AE891" s="18"/>
      <c r="AG891" s="18"/>
      <c r="AH891" s="18"/>
      <c r="AI891" s="18"/>
      <c r="AJ891" s="18"/>
    </row>
    <row r="892" ht="13.5" customHeight="1">
      <c r="A892" s="18"/>
      <c r="B892" s="19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20"/>
      <c r="AB892" s="18"/>
      <c r="AC892" s="18"/>
      <c r="AD892" s="18"/>
      <c r="AE892" s="18"/>
      <c r="AG892" s="18"/>
      <c r="AH892" s="18"/>
      <c r="AI892" s="18"/>
      <c r="AJ892" s="18"/>
    </row>
    <row r="893" ht="13.5" customHeight="1">
      <c r="A893" s="18"/>
      <c r="B893" s="19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20"/>
      <c r="AB893" s="18"/>
      <c r="AC893" s="18"/>
      <c r="AD893" s="18"/>
      <c r="AE893" s="18"/>
      <c r="AG893" s="18"/>
      <c r="AH893" s="18"/>
      <c r="AI893" s="18"/>
      <c r="AJ893" s="18"/>
    </row>
    <row r="894" ht="13.5" customHeight="1">
      <c r="A894" s="18"/>
      <c r="B894" s="19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20"/>
      <c r="AB894" s="18"/>
      <c r="AC894" s="18"/>
      <c r="AD894" s="18"/>
      <c r="AE894" s="18"/>
      <c r="AG894" s="18"/>
      <c r="AH894" s="18"/>
      <c r="AI894" s="18"/>
      <c r="AJ894" s="18"/>
    </row>
    <row r="895" ht="13.5" customHeight="1">
      <c r="A895" s="18"/>
      <c r="B895" s="19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20"/>
      <c r="AB895" s="18"/>
      <c r="AC895" s="18"/>
      <c r="AD895" s="18"/>
      <c r="AE895" s="18"/>
      <c r="AG895" s="18"/>
      <c r="AH895" s="18"/>
      <c r="AI895" s="18"/>
      <c r="AJ895" s="18"/>
    </row>
    <row r="896" ht="13.5" customHeight="1">
      <c r="A896" s="18"/>
      <c r="B896" s="19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20"/>
      <c r="AB896" s="18"/>
      <c r="AC896" s="18"/>
      <c r="AD896" s="18"/>
      <c r="AE896" s="18"/>
      <c r="AG896" s="18"/>
      <c r="AH896" s="18"/>
      <c r="AI896" s="18"/>
      <c r="AJ896" s="18"/>
    </row>
    <row r="897" ht="13.5" customHeight="1">
      <c r="A897" s="18"/>
      <c r="B897" s="19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20"/>
      <c r="AB897" s="18"/>
      <c r="AC897" s="18"/>
      <c r="AD897" s="18"/>
      <c r="AE897" s="18"/>
      <c r="AG897" s="18"/>
      <c r="AH897" s="18"/>
      <c r="AI897" s="18"/>
      <c r="AJ897" s="18"/>
    </row>
    <row r="898" ht="13.5" customHeight="1">
      <c r="A898" s="18"/>
      <c r="B898" s="19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20"/>
      <c r="AB898" s="18"/>
      <c r="AC898" s="18"/>
      <c r="AD898" s="18"/>
      <c r="AE898" s="18"/>
      <c r="AG898" s="18"/>
      <c r="AH898" s="18"/>
      <c r="AI898" s="18"/>
      <c r="AJ898" s="18"/>
    </row>
    <row r="899" ht="13.5" customHeight="1">
      <c r="A899" s="18"/>
      <c r="B899" s="19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20"/>
      <c r="AB899" s="18"/>
      <c r="AC899" s="18"/>
      <c r="AD899" s="18"/>
      <c r="AE899" s="18"/>
      <c r="AG899" s="18"/>
      <c r="AH899" s="18"/>
      <c r="AI899" s="18"/>
      <c r="AJ899" s="18"/>
    </row>
    <row r="900" ht="13.5" customHeight="1">
      <c r="A900" s="18"/>
      <c r="B900" s="19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20"/>
      <c r="AB900" s="18"/>
      <c r="AC900" s="18"/>
      <c r="AD900" s="18"/>
      <c r="AE900" s="18"/>
      <c r="AG900" s="18"/>
      <c r="AH900" s="18"/>
      <c r="AI900" s="18"/>
      <c r="AJ900" s="18"/>
    </row>
    <row r="901" ht="13.5" customHeight="1">
      <c r="A901" s="18"/>
      <c r="B901" s="19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20"/>
      <c r="AB901" s="18"/>
      <c r="AC901" s="18"/>
      <c r="AD901" s="18"/>
      <c r="AE901" s="18"/>
      <c r="AG901" s="18"/>
      <c r="AH901" s="18"/>
      <c r="AI901" s="18"/>
      <c r="AJ901" s="18"/>
    </row>
    <row r="902" ht="13.5" customHeight="1">
      <c r="A902" s="18"/>
      <c r="B902" s="19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20"/>
      <c r="AB902" s="18"/>
      <c r="AC902" s="18"/>
      <c r="AD902" s="18"/>
      <c r="AE902" s="18"/>
      <c r="AG902" s="18"/>
      <c r="AH902" s="18"/>
      <c r="AI902" s="18"/>
      <c r="AJ902" s="18"/>
    </row>
    <row r="903" ht="13.5" customHeight="1">
      <c r="A903" s="18"/>
      <c r="B903" s="19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20"/>
      <c r="AB903" s="18"/>
      <c r="AC903" s="18"/>
      <c r="AD903" s="18"/>
      <c r="AE903" s="18"/>
      <c r="AG903" s="18"/>
      <c r="AH903" s="18"/>
      <c r="AI903" s="18"/>
      <c r="AJ903" s="18"/>
    </row>
    <row r="904" ht="13.5" customHeight="1">
      <c r="A904" s="18"/>
      <c r="B904" s="19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20"/>
      <c r="AB904" s="18"/>
      <c r="AC904" s="18"/>
      <c r="AD904" s="18"/>
      <c r="AE904" s="18"/>
      <c r="AG904" s="18"/>
      <c r="AH904" s="18"/>
      <c r="AI904" s="18"/>
      <c r="AJ904" s="18"/>
    </row>
    <row r="905" ht="13.5" customHeight="1">
      <c r="A905" s="18"/>
      <c r="B905" s="19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20"/>
      <c r="AB905" s="18"/>
      <c r="AC905" s="18"/>
      <c r="AD905" s="18"/>
      <c r="AE905" s="18"/>
      <c r="AG905" s="18"/>
      <c r="AH905" s="18"/>
      <c r="AI905" s="18"/>
      <c r="AJ905" s="18"/>
    </row>
    <row r="906" ht="13.5" customHeight="1">
      <c r="A906" s="18"/>
      <c r="B906" s="19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20"/>
      <c r="AB906" s="18"/>
      <c r="AC906" s="18"/>
      <c r="AD906" s="18"/>
      <c r="AE906" s="18"/>
      <c r="AG906" s="18"/>
      <c r="AH906" s="18"/>
      <c r="AI906" s="18"/>
      <c r="AJ906" s="18"/>
    </row>
    <row r="907" ht="13.5" customHeight="1">
      <c r="A907" s="18"/>
      <c r="B907" s="19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20"/>
      <c r="AB907" s="18"/>
      <c r="AC907" s="18"/>
      <c r="AD907" s="18"/>
      <c r="AE907" s="18"/>
      <c r="AG907" s="18"/>
      <c r="AH907" s="18"/>
      <c r="AI907" s="18"/>
      <c r="AJ907" s="18"/>
    </row>
    <row r="908" ht="13.5" customHeight="1">
      <c r="A908" s="18"/>
      <c r="B908" s="19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20"/>
      <c r="AB908" s="18"/>
      <c r="AC908" s="18"/>
      <c r="AD908" s="18"/>
      <c r="AE908" s="18"/>
      <c r="AG908" s="18"/>
      <c r="AH908" s="18"/>
      <c r="AI908" s="18"/>
      <c r="AJ908" s="18"/>
    </row>
    <row r="909" ht="13.5" customHeight="1">
      <c r="A909" s="18"/>
      <c r="B909" s="19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20"/>
      <c r="AB909" s="18"/>
      <c r="AC909" s="18"/>
      <c r="AD909" s="18"/>
      <c r="AE909" s="18"/>
      <c r="AG909" s="18"/>
      <c r="AH909" s="18"/>
      <c r="AI909" s="18"/>
      <c r="AJ909" s="18"/>
    </row>
    <row r="910" ht="13.5" customHeight="1">
      <c r="A910" s="18"/>
      <c r="B910" s="19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20"/>
      <c r="AB910" s="18"/>
      <c r="AC910" s="18"/>
      <c r="AD910" s="18"/>
      <c r="AE910" s="18"/>
      <c r="AG910" s="18"/>
      <c r="AH910" s="18"/>
      <c r="AI910" s="18"/>
      <c r="AJ910" s="18"/>
    </row>
    <row r="911" ht="13.5" customHeight="1">
      <c r="A911" s="18"/>
      <c r="B911" s="19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20"/>
      <c r="AB911" s="18"/>
      <c r="AC911" s="18"/>
      <c r="AD911" s="18"/>
      <c r="AE911" s="18"/>
      <c r="AG911" s="18"/>
      <c r="AH911" s="18"/>
      <c r="AI911" s="18"/>
      <c r="AJ911" s="18"/>
    </row>
    <row r="912" ht="13.5" customHeight="1">
      <c r="A912" s="18"/>
      <c r="B912" s="19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20"/>
      <c r="AB912" s="18"/>
      <c r="AC912" s="18"/>
      <c r="AD912" s="18"/>
      <c r="AE912" s="18"/>
      <c r="AG912" s="18"/>
      <c r="AH912" s="18"/>
      <c r="AI912" s="18"/>
      <c r="AJ912" s="18"/>
    </row>
    <row r="913" ht="13.5" customHeight="1">
      <c r="A913" s="18"/>
      <c r="B913" s="19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20"/>
      <c r="AB913" s="18"/>
      <c r="AC913" s="18"/>
      <c r="AD913" s="18"/>
      <c r="AE913" s="18"/>
      <c r="AG913" s="18"/>
      <c r="AH913" s="18"/>
      <c r="AI913" s="18"/>
      <c r="AJ913" s="18"/>
    </row>
    <row r="914" ht="13.5" customHeight="1">
      <c r="A914" s="18"/>
      <c r="B914" s="19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20"/>
      <c r="AB914" s="18"/>
      <c r="AC914" s="18"/>
      <c r="AD914" s="18"/>
      <c r="AE914" s="18"/>
      <c r="AG914" s="18"/>
      <c r="AH914" s="18"/>
      <c r="AI914" s="18"/>
      <c r="AJ914" s="18"/>
    </row>
    <row r="915" ht="13.5" customHeight="1">
      <c r="A915" s="18"/>
      <c r="B915" s="19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20"/>
      <c r="AB915" s="18"/>
      <c r="AC915" s="18"/>
      <c r="AD915" s="18"/>
      <c r="AE915" s="18"/>
      <c r="AG915" s="18"/>
      <c r="AH915" s="18"/>
      <c r="AI915" s="18"/>
      <c r="AJ915" s="18"/>
    </row>
    <row r="916" ht="13.5" customHeight="1">
      <c r="A916" s="18"/>
      <c r="B916" s="19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20"/>
      <c r="AB916" s="18"/>
      <c r="AC916" s="18"/>
      <c r="AD916" s="18"/>
      <c r="AE916" s="18"/>
      <c r="AG916" s="18"/>
      <c r="AH916" s="18"/>
      <c r="AI916" s="18"/>
      <c r="AJ916" s="18"/>
    </row>
    <row r="917" ht="13.5" customHeight="1">
      <c r="A917" s="18"/>
      <c r="B917" s="19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20"/>
      <c r="AB917" s="18"/>
      <c r="AC917" s="18"/>
      <c r="AD917" s="18"/>
      <c r="AE917" s="18"/>
      <c r="AG917" s="18"/>
      <c r="AH917" s="18"/>
      <c r="AI917" s="18"/>
      <c r="AJ917" s="18"/>
    </row>
    <row r="918" ht="13.5" customHeight="1">
      <c r="A918" s="18"/>
      <c r="B918" s="19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20"/>
      <c r="AB918" s="18"/>
      <c r="AC918" s="18"/>
      <c r="AD918" s="18"/>
      <c r="AE918" s="18"/>
      <c r="AG918" s="18"/>
      <c r="AH918" s="18"/>
      <c r="AI918" s="18"/>
      <c r="AJ918" s="18"/>
    </row>
    <row r="919" ht="13.5" customHeight="1">
      <c r="A919" s="18"/>
      <c r="B919" s="19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20"/>
      <c r="AB919" s="18"/>
      <c r="AC919" s="18"/>
      <c r="AD919" s="18"/>
      <c r="AE919" s="18"/>
      <c r="AG919" s="18"/>
      <c r="AH919" s="18"/>
      <c r="AI919" s="18"/>
      <c r="AJ919" s="18"/>
    </row>
    <row r="920" ht="13.5" customHeight="1">
      <c r="A920" s="18"/>
      <c r="B920" s="19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20"/>
      <c r="AB920" s="18"/>
      <c r="AC920" s="18"/>
      <c r="AD920" s="18"/>
      <c r="AE920" s="18"/>
      <c r="AG920" s="18"/>
      <c r="AH920" s="18"/>
      <c r="AI920" s="18"/>
      <c r="AJ920" s="18"/>
    </row>
    <row r="921" ht="13.5" customHeight="1">
      <c r="A921" s="18"/>
      <c r="B921" s="19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20"/>
      <c r="AB921" s="18"/>
      <c r="AC921" s="18"/>
      <c r="AD921" s="18"/>
      <c r="AE921" s="18"/>
      <c r="AG921" s="18"/>
      <c r="AH921" s="18"/>
      <c r="AI921" s="18"/>
      <c r="AJ921" s="18"/>
    </row>
    <row r="922" ht="13.5" customHeight="1">
      <c r="A922" s="18"/>
      <c r="B922" s="19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20"/>
      <c r="AB922" s="18"/>
      <c r="AC922" s="18"/>
      <c r="AD922" s="18"/>
      <c r="AE922" s="18"/>
      <c r="AG922" s="18"/>
      <c r="AH922" s="18"/>
      <c r="AI922" s="18"/>
      <c r="AJ922" s="18"/>
    </row>
    <row r="923" ht="13.5" customHeight="1">
      <c r="A923" s="18"/>
      <c r="B923" s="19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20"/>
      <c r="AB923" s="18"/>
      <c r="AC923" s="18"/>
      <c r="AD923" s="18"/>
      <c r="AE923" s="18"/>
      <c r="AG923" s="18"/>
      <c r="AH923" s="18"/>
      <c r="AI923" s="18"/>
      <c r="AJ923" s="18"/>
    </row>
    <row r="924" ht="13.5" customHeight="1">
      <c r="A924" s="18"/>
      <c r="B924" s="19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20"/>
      <c r="AB924" s="18"/>
      <c r="AC924" s="18"/>
      <c r="AD924" s="18"/>
      <c r="AE924" s="18"/>
      <c r="AG924" s="18"/>
      <c r="AH924" s="18"/>
      <c r="AI924" s="18"/>
      <c r="AJ924" s="18"/>
    </row>
    <row r="925" ht="13.5" customHeight="1">
      <c r="A925" s="18"/>
      <c r="B925" s="19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20"/>
      <c r="AB925" s="18"/>
      <c r="AC925" s="18"/>
      <c r="AD925" s="18"/>
      <c r="AE925" s="18"/>
      <c r="AG925" s="18"/>
      <c r="AH925" s="18"/>
      <c r="AI925" s="18"/>
      <c r="AJ925" s="18"/>
    </row>
    <row r="926" ht="13.5" customHeight="1">
      <c r="A926" s="18"/>
      <c r="B926" s="19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20"/>
      <c r="AB926" s="18"/>
      <c r="AC926" s="18"/>
      <c r="AD926" s="18"/>
      <c r="AE926" s="18"/>
      <c r="AG926" s="18"/>
      <c r="AH926" s="18"/>
      <c r="AI926" s="18"/>
      <c r="AJ926" s="18"/>
    </row>
    <row r="927" ht="13.5" customHeight="1">
      <c r="A927" s="18"/>
      <c r="B927" s="19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20"/>
      <c r="AB927" s="18"/>
      <c r="AC927" s="18"/>
      <c r="AD927" s="18"/>
      <c r="AE927" s="18"/>
      <c r="AG927" s="18"/>
      <c r="AH927" s="18"/>
      <c r="AI927" s="18"/>
      <c r="AJ927" s="18"/>
    </row>
    <row r="928" ht="13.5" customHeight="1">
      <c r="A928" s="18"/>
      <c r="B928" s="19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20"/>
      <c r="AB928" s="18"/>
      <c r="AC928" s="18"/>
      <c r="AD928" s="18"/>
      <c r="AE928" s="18"/>
      <c r="AG928" s="18"/>
      <c r="AH928" s="18"/>
      <c r="AI928" s="18"/>
      <c r="AJ928" s="18"/>
    </row>
    <row r="929" ht="13.5" customHeight="1">
      <c r="A929" s="18"/>
      <c r="B929" s="19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20"/>
      <c r="AB929" s="18"/>
      <c r="AC929" s="18"/>
      <c r="AD929" s="18"/>
      <c r="AE929" s="18"/>
      <c r="AG929" s="18"/>
      <c r="AH929" s="18"/>
      <c r="AI929" s="18"/>
      <c r="AJ929" s="18"/>
    </row>
    <row r="930" ht="13.5" customHeight="1">
      <c r="A930" s="18"/>
      <c r="B930" s="19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20"/>
      <c r="AB930" s="18"/>
      <c r="AC930" s="18"/>
      <c r="AD930" s="18"/>
      <c r="AE930" s="18"/>
      <c r="AG930" s="18"/>
      <c r="AH930" s="18"/>
      <c r="AI930" s="18"/>
      <c r="AJ930" s="18"/>
    </row>
    <row r="931" ht="13.5" customHeight="1">
      <c r="A931" s="18"/>
      <c r="B931" s="19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20"/>
      <c r="AB931" s="18"/>
      <c r="AC931" s="18"/>
      <c r="AD931" s="18"/>
      <c r="AE931" s="18"/>
      <c r="AG931" s="18"/>
      <c r="AH931" s="18"/>
      <c r="AI931" s="18"/>
      <c r="AJ931" s="18"/>
    </row>
    <row r="932" ht="13.5" customHeight="1">
      <c r="A932" s="18"/>
      <c r="B932" s="19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20"/>
      <c r="AB932" s="18"/>
      <c r="AC932" s="18"/>
      <c r="AD932" s="18"/>
      <c r="AE932" s="18"/>
      <c r="AG932" s="18"/>
      <c r="AH932" s="18"/>
      <c r="AI932" s="18"/>
      <c r="AJ932" s="18"/>
    </row>
    <row r="933" ht="13.5" customHeight="1">
      <c r="A933" s="18"/>
      <c r="B933" s="19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20"/>
      <c r="AB933" s="18"/>
      <c r="AC933" s="18"/>
      <c r="AD933" s="18"/>
      <c r="AE933" s="18"/>
      <c r="AG933" s="18"/>
      <c r="AH933" s="18"/>
      <c r="AI933" s="18"/>
      <c r="AJ933" s="18"/>
    </row>
    <row r="934" ht="13.5" customHeight="1">
      <c r="A934" s="18"/>
      <c r="B934" s="19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20"/>
      <c r="AB934" s="18"/>
      <c r="AC934" s="18"/>
      <c r="AD934" s="18"/>
      <c r="AE934" s="18"/>
      <c r="AG934" s="18"/>
      <c r="AH934" s="18"/>
      <c r="AI934" s="18"/>
      <c r="AJ934" s="18"/>
    </row>
    <row r="935" ht="13.5" customHeight="1">
      <c r="A935" s="18"/>
      <c r="B935" s="19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20"/>
      <c r="AB935" s="18"/>
      <c r="AC935" s="18"/>
      <c r="AD935" s="18"/>
      <c r="AE935" s="18"/>
      <c r="AG935" s="18"/>
      <c r="AH935" s="18"/>
      <c r="AI935" s="18"/>
      <c r="AJ935" s="18"/>
    </row>
    <row r="936" ht="13.5" customHeight="1">
      <c r="A936" s="18"/>
      <c r="B936" s="19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20"/>
      <c r="AB936" s="18"/>
      <c r="AC936" s="18"/>
      <c r="AD936" s="18"/>
      <c r="AE936" s="18"/>
      <c r="AG936" s="18"/>
      <c r="AH936" s="18"/>
      <c r="AI936" s="18"/>
      <c r="AJ936" s="18"/>
    </row>
    <row r="937" ht="13.5" customHeight="1">
      <c r="A937" s="18"/>
      <c r="B937" s="19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20"/>
      <c r="AB937" s="18"/>
      <c r="AC937" s="18"/>
      <c r="AD937" s="18"/>
      <c r="AE937" s="18"/>
      <c r="AG937" s="18"/>
      <c r="AH937" s="18"/>
      <c r="AI937" s="18"/>
      <c r="AJ937" s="18"/>
    </row>
    <row r="938" ht="13.5" customHeight="1">
      <c r="A938" s="18"/>
      <c r="B938" s="19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20"/>
      <c r="AB938" s="18"/>
      <c r="AC938" s="18"/>
      <c r="AD938" s="18"/>
      <c r="AE938" s="18"/>
      <c r="AG938" s="18"/>
      <c r="AH938" s="18"/>
      <c r="AI938" s="18"/>
      <c r="AJ938" s="18"/>
    </row>
    <row r="939" ht="13.5" customHeight="1">
      <c r="A939" s="18"/>
      <c r="B939" s="19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20"/>
      <c r="AB939" s="18"/>
      <c r="AC939" s="18"/>
      <c r="AD939" s="18"/>
      <c r="AE939" s="18"/>
      <c r="AG939" s="18"/>
      <c r="AH939" s="18"/>
      <c r="AI939" s="18"/>
      <c r="AJ939" s="18"/>
    </row>
    <row r="940" ht="13.5" customHeight="1">
      <c r="A940" s="18"/>
      <c r="B940" s="19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20"/>
      <c r="AB940" s="18"/>
      <c r="AC940" s="18"/>
      <c r="AD940" s="18"/>
      <c r="AE940" s="18"/>
      <c r="AG940" s="18"/>
      <c r="AH940" s="18"/>
      <c r="AI940" s="18"/>
      <c r="AJ940" s="18"/>
    </row>
    <row r="941" ht="13.5" customHeight="1">
      <c r="A941" s="18"/>
      <c r="B941" s="19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20"/>
      <c r="AB941" s="18"/>
      <c r="AC941" s="18"/>
      <c r="AD941" s="18"/>
      <c r="AE941" s="18"/>
      <c r="AG941" s="18"/>
      <c r="AH941" s="18"/>
      <c r="AI941" s="18"/>
      <c r="AJ941" s="18"/>
    </row>
    <row r="942" ht="13.5" customHeight="1">
      <c r="A942" s="18"/>
      <c r="B942" s="19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20"/>
      <c r="AB942" s="18"/>
      <c r="AC942" s="18"/>
      <c r="AD942" s="18"/>
      <c r="AE942" s="18"/>
      <c r="AG942" s="18"/>
      <c r="AH942" s="18"/>
      <c r="AI942" s="18"/>
      <c r="AJ942" s="18"/>
    </row>
    <row r="943" ht="13.5" customHeight="1">
      <c r="A943" s="18"/>
      <c r="B943" s="19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20"/>
      <c r="AB943" s="18"/>
      <c r="AC943" s="18"/>
      <c r="AD943" s="18"/>
      <c r="AE943" s="18"/>
      <c r="AG943" s="18"/>
      <c r="AH943" s="18"/>
      <c r="AI943" s="18"/>
      <c r="AJ943" s="18"/>
    </row>
    <row r="944" ht="13.5" customHeight="1">
      <c r="A944" s="18"/>
      <c r="B944" s="19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20"/>
      <c r="AB944" s="18"/>
      <c r="AC944" s="18"/>
      <c r="AD944" s="18"/>
      <c r="AE944" s="18"/>
      <c r="AG944" s="18"/>
      <c r="AH944" s="18"/>
      <c r="AI944" s="18"/>
      <c r="AJ944" s="18"/>
    </row>
    <row r="945" ht="13.5" customHeight="1">
      <c r="A945" s="18"/>
      <c r="B945" s="19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20"/>
      <c r="AB945" s="18"/>
      <c r="AC945" s="18"/>
      <c r="AD945" s="18"/>
      <c r="AE945" s="18"/>
      <c r="AG945" s="18"/>
      <c r="AH945" s="18"/>
      <c r="AI945" s="18"/>
      <c r="AJ945" s="18"/>
    </row>
    <row r="946" ht="13.5" customHeight="1">
      <c r="A946" s="18"/>
      <c r="B946" s="19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20"/>
      <c r="AB946" s="18"/>
      <c r="AC946" s="18"/>
      <c r="AD946" s="18"/>
      <c r="AE946" s="18"/>
      <c r="AG946" s="18"/>
      <c r="AH946" s="18"/>
      <c r="AI946" s="18"/>
      <c r="AJ946" s="18"/>
    </row>
    <row r="947" ht="13.5" customHeight="1">
      <c r="A947" s="18"/>
      <c r="B947" s="19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20"/>
      <c r="AB947" s="18"/>
      <c r="AC947" s="18"/>
      <c r="AD947" s="18"/>
      <c r="AE947" s="18"/>
      <c r="AG947" s="18"/>
      <c r="AH947" s="18"/>
      <c r="AI947" s="18"/>
      <c r="AJ947" s="18"/>
    </row>
    <row r="948" ht="13.5" customHeight="1">
      <c r="A948" s="18"/>
      <c r="B948" s="19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20"/>
      <c r="AB948" s="18"/>
      <c r="AC948" s="18"/>
      <c r="AD948" s="18"/>
      <c r="AE948" s="18"/>
      <c r="AG948" s="18"/>
      <c r="AH948" s="18"/>
      <c r="AI948" s="18"/>
      <c r="AJ948" s="18"/>
    </row>
    <row r="949" ht="13.5" customHeight="1">
      <c r="A949" s="18"/>
      <c r="B949" s="19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20"/>
      <c r="AB949" s="18"/>
      <c r="AC949" s="18"/>
      <c r="AD949" s="18"/>
      <c r="AE949" s="18"/>
      <c r="AG949" s="18"/>
      <c r="AH949" s="18"/>
      <c r="AI949" s="18"/>
      <c r="AJ949" s="18"/>
    </row>
    <row r="950" ht="13.5" customHeight="1">
      <c r="A950" s="18"/>
      <c r="B950" s="19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20"/>
      <c r="AB950" s="18"/>
      <c r="AC950" s="18"/>
      <c r="AD950" s="18"/>
      <c r="AE950" s="18"/>
      <c r="AG950" s="18"/>
      <c r="AH950" s="18"/>
      <c r="AI950" s="18"/>
      <c r="AJ950" s="18"/>
    </row>
    <row r="951" ht="13.5" customHeight="1">
      <c r="A951" s="18"/>
      <c r="B951" s="19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20"/>
      <c r="AB951" s="18"/>
      <c r="AC951" s="18"/>
      <c r="AD951" s="18"/>
      <c r="AE951" s="18"/>
      <c r="AG951" s="18"/>
      <c r="AH951" s="18"/>
      <c r="AI951" s="18"/>
      <c r="AJ951" s="18"/>
    </row>
    <row r="952" ht="13.5" customHeight="1">
      <c r="A952" s="18"/>
      <c r="B952" s="19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20"/>
      <c r="AB952" s="18"/>
      <c r="AC952" s="18"/>
      <c r="AD952" s="18"/>
      <c r="AE952" s="18"/>
      <c r="AG952" s="18"/>
      <c r="AH952" s="18"/>
      <c r="AI952" s="18"/>
      <c r="AJ952" s="18"/>
    </row>
    <row r="953" ht="13.5" customHeight="1">
      <c r="A953" s="18"/>
      <c r="B953" s="19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20"/>
      <c r="AB953" s="18"/>
      <c r="AC953" s="18"/>
      <c r="AD953" s="18"/>
      <c r="AE953" s="18"/>
      <c r="AG953" s="18"/>
      <c r="AH953" s="18"/>
      <c r="AI953" s="18"/>
      <c r="AJ953" s="18"/>
    </row>
    <row r="954" ht="13.5" customHeight="1">
      <c r="A954" s="18"/>
      <c r="B954" s="19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20"/>
      <c r="AB954" s="18"/>
      <c r="AC954" s="18"/>
      <c r="AD954" s="18"/>
      <c r="AE954" s="18"/>
      <c r="AG954" s="18"/>
      <c r="AH954" s="18"/>
      <c r="AI954" s="18"/>
      <c r="AJ954" s="18"/>
    </row>
    <row r="955" ht="13.5" customHeight="1">
      <c r="A955" s="18"/>
      <c r="B955" s="19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20"/>
      <c r="AB955" s="18"/>
      <c r="AC955" s="18"/>
      <c r="AD955" s="18"/>
      <c r="AE955" s="18"/>
      <c r="AG955" s="18"/>
      <c r="AH955" s="18"/>
      <c r="AI955" s="18"/>
      <c r="AJ955" s="18"/>
    </row>
    <row r="956" ht="13.5" customHeight="1">
      <c r="A956" s="18"/>
      <c r="B956" s="19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20"/>
      <c r="AB956" s="18"/>
      <c r="AC956" s="18"/>
      <c r="AD956" s="18"/>
      <c r="AE956" s="18"/>
      <c r="AG956" s="18"/>
      <c r="AH956" s="18"/>
      <c r="AI956" s="18"/>
      <c r="AJ956" s="18"/>
    </row>
    <row r="957" ht="13.5" customHeight="1">
      <c r="A957" s="18"/>
      <c r="B957" s="19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20"/>
      <c r="AB957" s="18"/>
      <c r="AC957" s="18"/>
      <c r="AD957" s="18"/>
      <c r="AE957" s="18"/>
      <c r="AG957" s="18"/>
      <c r="AH957" s="18"/>
      <c r="AI957" s="18"/>
      <c r="AJ957" s="18"/>
    </row>
    <row r="958" ht="13.5" customHeight="1">
      <c r="A958" s="18"/>
      <c r="B958" s="19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20"/>
      <c r="AB958" s="18"/>
      <c r="AC958" s="18"/>
      <c r="AD958" s="18"/>
      <c r="AE958" s="18"/>
      <c r="AG958" s="18"/>
      <c r="AH958" s="18"/>
      <c r="AI958" s="18"/>
      <c r="AJ958" s="18"/>
    </row>
    <row r="959" ht="13.5" customHeight="1">
      <c r="A959" s="18"/>
      <c r="B959" s="19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20"/>
      <c r="AB959" s="18"/>
      <c r="AC959" s="18"/>
      <c r="AD959" s="18"/>
      <c r="AE959" s="18"/>
      <c r="AG959" s="18"/>
      <c r="AH959" s="18"/>
      <c r="AI959" s="18"/>
      <c r="AJ959" s="18"/>
    </row>
    <row r="960" ht="13.5" customHeight="1">
      <c r="A960" s="18"/>
      <c r="B960" s="19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20"/>
      <c r="AB960" s="18"/>
      <c r="AC960" s="18"/>
      <c r="AD960" s="18"/>
      <c r="AE960" s="18"/>
      <c r="AG960" s="18"/>
      <c r="AH960" s="18"/>
      <c r="AI960" s="18"/>
      <c r="AJ960" s="18"/>
    </row>
    <row r="961" ht="13.5" customHeight="1">
      <c r="A961" s="18"/>
      <c r="B961" s="19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20"/>
      <c r="AB961" s="18"/>
      <c r="AC961" s="18"/>
      <c r="AD961" s="18"/>
      <c r="AE961" s="18"/>
      <c r="AG961" s="18"/>
      <c r="AH961" s="18"/>
      <c r="AI961" s="18"/>
      <c r="AJ961" s="18"/>
    </row>
    <row r="962" ht="13.5" customHeight="1">
      <c r="A962" s="18"/>
      <c r="B962" s="19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20"/>
      <c r="AB962" s="18"/>
      <c r="AC962" s="18"/>
      <c r="AD962" s="18"/>
      <c r="AE962" s="18"/>
      <c r="AG962" s="18"/>
      <c r="AH962" s="18"/>
      <c r="AI962" s="18"/>
      <c r="AJ962" s="18"/>
    </row>
    <row r="963" ht="13.5" customHeight="1">
      <c r="A963" s="18"/>
      <c r="B963" s="19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20"/>
      <c r="AB963" s="18"/>
      <c r="AC963" s="18"/>
      <c r="AD963" s="18"/>
      <c r="AE963" s="18"/>
      <c r="AG963" s="18"/>
      <c r="AH963" s="18"/>
      <c r="AI963" s="18"/>
      <c r="AJ963" s="18"/>
    </row>
    <row r="964" ht="13.5" customHeight="1">
      <c r="A964" s="18"/>
      <c r="B964" s="19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20"/>
      <c r="AB964" s="18"/>
      <c r="AC964" s="18"/>
      <c r="AD964" s="18"/>
      <c r="AE964" s="18"/>
      <c r="AG964" s="18"/>
      <c r="AH964" s="18"/>
      <c r="AI964" s="18"/>
      <c r="AJ964" s="18"/>
    </row>
    <row r="965" ht="13.5" customHeight="1">
      <c r="A965" s="18"/>
      <c r="B965" s="19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20"/>
      <c r="AB965" s="18"/>
      <c r="AC965" s="18"/>
      <c r="AD965" s="18"/>
      <c r="AE965" s="18"/>
      <c r="AG965" s="18"/>
      <c r="AH965" s="18"/>
      <c r="AI965" s="18"/>
      <c r="AJ965" s="18"/>
    </row>
    <row r="966" ht="13.5" customHeight="1">
      <c r="A966" s="18"/>
      <c r="B966" s="19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20"/>
      <c r="AB966" s="18"/>
      <c r="AC966" s="18"/>
      <c r="AD966" s="18"/>
      <c r="AE966" s="18"/>
      <c r="AG966" s="18"/>
      <c r="AH966" s="18"/>
      <c r="AI966" s="18"/>
      <c r="AJ966" s="18"/>
    </row>
    <row r="967" ht="13.5" customHeight="1">
      <c r="A967" s="18"/>
      <c r="B967" s="19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20"/>
      <c r="AB967" s="18"/>
      <c r="AC967" s="18"/>
      <c r="AD967" s="18"/>
      <c r="AE967" s="18"/>
      <c r="AG967" s="18"/>
      <c r="AH967" s="18"/>
      <c r="AI967" s="18"/>
      <c r="AJ967" s="18"/>
    </row>
    <row r="968" ht="13.5" customHeight="1">
      <c r="A968" s="18"/>
      <c r="B968" s="19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20"/>
      <c r="AB968" s="18"/>
      <c r="AC968" s="18"/>
      <c r="AD968" s="18"/>
      <c r="AE968" s="18"/>
      <c r="AG968" s="18"/>
      <c r="AH968" s="18"/>
      <c r="AI968" s="18"/>
      <c r="AJ968" s="18"/>
    </row>
    <row r="969" ht="13.5" customHeight="1">
      <c r="A969" s="18"/>
      <c r="B969" s="19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20"/>
      <c r="AB969" s="18"/>
      <c r="AC969" s="18"/>
      <c r="AD969" s="18"/>
      <c r="AE969" s="18"/>
      <c r="AG969" s="18"/>
      <c r="AH969" s="18"/>
      <c r="AI969" s="18"/>
      <c r="AJ969" s="18"/>
    </row>
    <row r="970" ht="13.5" customHeight="1">
      <c r="A970" s="18"/>
      <c r="B970" s="19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20"/>
      <c r="AB970" s="18"/>
      <c r="AC970" s="18"/>
      <c r="AD970" s="18"/>
      <c r="AE970" s="18"/>
      <c r="AG970" s="18"/>
      <c r="AH970" s="18"/>
      <c r="AI970" s="18"/>
      <c r="AJ970" s="18"/>
    </row>
    <row r="971" ht="13.5" customHeight="1">
      <c r="A971" s="18"/>
      <c r="B971" s="19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20"/>
      <c r="AB971" s="18"/>
      <c r="AC971" s="18"/>
      <c r="AD971" s="18"/>
      <c r="AE971" s="18"/>
      <c r="AG971" s="18"/>
      <c r="AH971" s="18"/>
      <c r="AI971" s="18"/>
      <c r="AJ971" s="18"/>
    </row>
    <row r="972" ht="13.5" customHeight="1">
      <c r="A972" s="18"/>
      <c r="B972" s="19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20"/>
      <c r="AB972" s="18"/>
      <c r="AC972" s="18"/>
      <c r="AD972" s="18"/>
      <c r="AE972" s="18"/>
      <c r="AG972" s="18"/>
      <c r="AH972" s="18"/>
      <c r="AI972" s="18"/>
      <c r="AJ972" s="18"/>
    </row>
    <row r="973" ht="13.5" customHeight="1">
      <c r="A973" s="18"/>
      <c r="B973" s="19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20"/>
      <c r="AB973" s="18"/>
      <c r="AC973" s="18"/>
      <c r="AD973" s="18"/>
      <c r="AE973" s="18"/>
      <c r="AG973" s="18"/>
      <c r="AH973" s="18"/>
      <c r="AI973" s="18"/>
      <c r="AJ973" s="18"/>
    </row>
    <row r="974" ht="13.5" customHeight="1">
      <c r="A974" s="18"/>
      <c r="B974" s="19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20"/>
      <c r="AB974" s="18"/>
      <c r="AC974" s="18"/>
      <c r="AD974" s="18"/>
      <c r="AE974" s="18"/>
      <c r="AG974" s="18"/>
      <c r="AH974" s="18"/>
      <c r="AI974" s="18"/>
      <c r="AJ974" s="18"/>
    </row>
    <row r="975" ht="13.5" customHeight="1">
      <c r="A975" s="18"/>
      <c r="B975" s="19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20"/>
      <c r="AB975" s="18"/>
      <c r="AC975" s="18"/>
      <c r="AD975" s="18"/>
      <c r="AE975" s="18"/>
      <c r="AG975" s="18"/>
      <c r="AH975" s="18"/>
      <c r="AI975" s="18"/>
      <c r="AJ975" s="18"/>
    </row>
    <row r="976" ht="13.5" customHeight="1">
      <c r="A976" s="18"/>
      <c r="B976" s="19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20"/>
      <c r="AB976" s="18"/>
      <c r="AC976" s="18"/>
      <c r="AD976" s="18"/>
      <c r="AE976" s="18"/>
      <c r="AG976" s="18"/>
      <c r="AH976" s="18"/>
      <c r="AI976" s="18"/>
      <c r="AJ976" s="18"/>
    </row>
    <row r="977" ht="13.5" customHeight="1">
      <c r="A977" s="18"/>
      <c r="B977" s="19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20"/>
      <c r="AB977" s="18"/>
      <c r="AC977" s="18"/>
      <c r="AD977" s="18"/>
      <c r="AE977" s="18"/>
      <c r="AG977" s="18"/>
      <c r="AH977" s="18"/>
      <c r="AI977" s="18"/>
      <c r="AJ977" s="18"/>
    </row>
    <row r="978" ht="13.5" customHeight="1">
      <c r="A978" s="18"/>
      <c r="B978" s="19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20"/>
      <c r="AB978" s="18"/>
      <c r="AC978" s="18"/>
      <c r="AD978" s="18"/>
      <c r="AE978" s="18"/>
      <c r="AG978" s="18"/>
      <c r="AH978" s="18"/>
      <c r="AI978" s="18"/>
      <c r="AJ978" s="18"/>
    </row>
    <row r="979" ht="13.5" customHeight="1">
      <c r="A979" s="18"/>
      <c r="B979" s="19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20"/>
      <c r="AB979" s="18"/>
      <c r="AC979" s="18"/>
      <c r="AD979" s="18"/>
      <c r="AE979" s="18"/>
      <c r="AG979" s="18"/>
      <c r="AH979" s="18"/>
      <c r="AI979" s="18"/>
      <c r="AJ979" s="18"/>
    </row>
    <row r="980" ht="13.5" customHeight="1">
      <c r="A980" s="18"/>
      <c r="B980" s="19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20"/>
      <c r="AB980" s="18"/>
      <c r="AC980" s="18"/>
      <c r="AD980" s="18"/>
      <c r="AE980" s="18"/>
      <c r="AG980" s="18"/>
      <c r="AH980" s="18"/>
      <c r="AI980" s="18"/>
      <c r="AJ980" s="18"/>
    </row>
    <row r="981" ht="13.5" customHeight="1">
      <c r="A981" s="18"/>
      <c r="B981" s="19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20"/>
      <c r="AB981" s="18"/>
      <c r="AC981" s="18"/>
      <c r="AD981" s="18"/>
      <c r="AE981" s="18"/>
      <c r="AG981" s="18"/>
      <c r="AH981" s="18"/>
      <c r="AI981" s="18"/>
      <c r="AJ981" s="18"/>
    </row>
    <row r="982" ht="13.5" customHeight="1">
      <c r="A982" s="18"/>
      <c r="B982" s="19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20"/>
      <c r="AB982" s="18"/>
      <c r="AC982" s="18"/>
      <c r="AD982" s="18"/>
      <c r="AE982" s="18"/>
      <c r="AG982" s="18"/>
      <c r="AH982" s="18"/>
      <c r="AI982" s="18"/>
      <c r="AJ982" s="18"/>
    </row>
    <row r="983" ht="13.5" customHeight="1">
      <c r="A983" s="18"/>
      <c r="B983" s="19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20"/>
      <c r="AB983" s="18"/>
      <c r="AC983" s="18"/>
      <c r="AD983" s="18"/>
      <c r="AE983" s="18"/>
      <c r="AG983" s="18"/>
      <c r="AH983" s="18"/>
      <c r="AI983" s="18"/>
      <c r="AJ983" s="18"/>
    </row>
    <row r="984" ht="13.5" customHeight="1">
      <c r="A984" s="18"/>
      <c r="B984" s="19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20"/>
      <c r="AB984" s="18"/>
      <c r="AC984" s="18"/>
      <c r="AD984" s="18"/>
      <c r="AE984" s="18"/>
      <c r="AG984" s="18"/>
      <c r="AH984" s="18"/>
      <c r="AI984" s="18"/>
      <c r="AJ984" s="18"/>
    </row>
    <row r="985" ht="13.5" customHeight="1">
      <c r="A985" s="18"/>
      <c r="B985" s="19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20"/>
      <c r="AB985" s="18"/>
      <c r="AC985" s="18"/>
      <c r="AD985" s="18"/>
      <c r="AE985" s="18"/>
      <c r="AG985" s="18"/>
      <c r="AH985" s="18"/>
      <c r="AI985" s="18"/>
      <c r="AJ985" s="18"/>
    </row>
    <row r="986" ht="13.5" customHeight="1">
      <c r="A986" s="18"/>
      <c r="B986" s="19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20"/>
      <c r="AB986" s="18"/>
      <c r="AC986" s="18"/>
      <c r="AD986" s="18"/>
      <c r="AE986" s="18"/>
      <c r="AG986" s="18"/>
      <c r="AH986" s="18"/>
      <c r="AI986" s="18"/>
      <c r="AJ986" s="18"/>
    </row>
    <row r="987" ht="13.5" customHeight="1">
      <c r="A987" s="18"/>
      <c r="B987" s="19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20"/>
      <c r="AB987" s="18"/>
      <c r="AC987" s="18"/>
      <c r="AD987" s="18"/>
      <c r="AE987" s="18"/>
      <c r="AG987" s="18"/>
      <c r="AH987" s="18"/>
      <c r="AI987" s="18"/>
      <c r="AJ987" s="18"/>
    </row>
    <row r="988" ht="13.5" customHeight="1">
      <c r="A988" s="18"/>
      <c r="B988" s="19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20"/>
      <c r="AB988" s="18"/>
      <c r="AC988" s="18"/>
      <c r="AD988" s="18"/>
      <c r="AE988" s="18"/>
      <c r="AG988" s="18"/>
      <c r="AH988" s="18"/>
      <c r="AI988" s="18"/>
      <c r="AJ988" s="18"/>
    </row>
    <row r="989" ht="13.5" customHeight="1">
      <c r="A989" s="18"/>
      <c r="B989" s="19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20"/>
      <c r="AB989" s="18"/>
      <c r="AC989" s="18"/>
      <c r="AD989" s="18"/>
      <c r="AE989" s="18"/>
      <c r="AG989" s="18"/>
      <c r="AH989" s="18"/>
      <c r="AI989" s="18"/>
      <c r="AJ989" s="18"/>
    </row>
    <row r="990" ht="13.5" customHeight="1">
      <c r="A990" s="18"/>
      <c r="B990" s="19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20"/>
      <c r="AB990" s="18"/>
      <c r="AC990" s="18"/>
      <c r="AD990" s="18"/>
      <c r="AE990" s="18"/>
      <c r="AG990" s="18"/>
      <c r="AH990" s="18"/>
      <c r="AI990" s="18"/>
      <c r="AJ990" s="18"/>
    </row>
    <row r="991" ht="13.5" customHeight="1">
      <c r="A991" s="18"/>
      <c r="B991" s="19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20"/>
      <c r="AB991" s="18"/>
      <c r="AC991" s="18"/>
      <c r="AD991" s="18"/>
      <c r="AE991" s="18"/>
      <c r="AG991" s="18"/>
      <c r="AH991" s="18"/>
      <c r="AI991" s="18"/>
      <c r="AJ991" s="18"/>
    </row>
    <row r="992" ht="13.5" customHeight="1">
      <c r="A992" s="18"/>
      <c r="B992" s="19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20"/>
      <c r="AB992" s="18"/>
      <c r="AC992" s="18"/>
      <c r="AD992" s="18"/>
      <c r="AE992" s="18"/>
      <c r="AG992" s="18"/>
      <c r="AH992" s="18"/>
      <c r="AI992" s="18"/>
      <c r="AJ992" s="18"/>
    </row>
    <row r="993" ht="13.5" customHeight="1">
      <c r="A993" s="18"/>
      <c r="B993" s="19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20"/>
      <c r="AB993" s="18"/>
      <c r="AC993" s="18"/>
      <c r="AD993" s="18"/>
      <c r="AE993" s="18"/>
      <c r="AG993" s="18"/>
      <c r="AH993" s="18"/>
      <c r="AI993" s="18"/>
      <c r="AJ993" s="18"/>
    </row>
    <row r="994" ht="13.5" customHeight="1">
      <c r="A994" s="18"/>
      <c r="B994" s="19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20"/>
      <c r="AB994" s="18"/>
      <c r="AC994" s="18"/>
      <c r="AD994" s="18"/>
      <c r="AE994" s="18"/>
      <c r="AG994" s="18"/>
      <c r="AH994" s="18"/>
      <c r="AI994" s="18"/>
      <c r="AJ994" s="18"/>
    </row>
    <row r="995" ht="13.5" customHeight="1">
      <c r="A995" s="18"/>
      <c r="B995" s="19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20"/>
      <c r="AB995" s="18"/>
      <c r="AC995" s="18"/>
      <c r="AD995" s="18"/>
      <c r="AE995" s="18"/>
      <c r="AG995" s="18"/>
      <c r="AH995" s="18"/>
      <c r="AI995" s="18"/>
      <c r="AJ995" s="18"/>
    </row>
    <row r="996" ht="13.5" customHeight="1">
      <c r="A996" s="18"/>
      <c r="B996" s="19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20"/>
      <c r="AB996" s="18"/>
      <c r="AC996" s="18"/>
      <c r="AD996" s="18"/>
      <c r="AE996" s="18"/>
      <c r="AG996" s="18"/>
      <c r="AH996" s="18"/>
      <c r="AI996" s="18"/>
      <c r="AJ996" s="18"/>
    </row>
    <row r="997" ht="13.5" customHeight="1">
      <c r="A997" s="18"/>
      <c r="B997" s="19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20"/>
      <c r="AB997" s="18"/>
      <c r="AC997" s="18"/>
      <c r="AD997" s="18"/>
      <c r="AE997" s="18"/>
      <c r="AG997" s="18"/>
      <c r="AH997" s="18"/>
      <c r="AI997" s="18"/>
      <c r="AJ997" s="18"/>
    </row>
    <row r="998" ht="13.5" customHeight="1">
      <c r="A998" s="18"/>
      <c r="B998" s="19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20"/>
      <c r="AB998" s="18"/>
      <c r="AC998" s="18"/>
      <c r="AD998" s="18"/>
      <c r="AE998" s="18"/>
      <c r="AG998" s="18"/>
      <c r="AH998" s="18"/>
      <c r="AI998" s="18"/>
      <c r="AJ998" s="18"/>
    </row>
    <row r="999" ht="13.5" customHeight="1">
      <c r="A999" s="18"/>
      <c r="B999" s="19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20"/>
      <c r="AB999" s="18"/>
      <c r="AC999" s="18"/>
      <c r="AD999" s="18"/>
      <c r="AE999" s="18"/>
      <c r="AG999" s="18"/>
      <c r="AH999" s="18"/>
      <c r="AI999" s="18"/>
      <c r="AJ999" s="18"/>
    </row>
  </sheetData>
  <autoFilter ref="$A$1:$AJ$101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3" max="3" width="16.13"/>
    <col customWidth="1" min="4" max="4" width="17.75"/>
  </cols>
  <sheetData>
    <row r="1">
      <c r="A1" s="1" t="s">
        <v>1</v>
      </c>
      <c r="B1" s="1" t="s">
        <v>5</v>
      </c>
      <c r="C1" s="21" t="s">
        <v>11</v>
      </c>
      <c r="D1" s="21" t="s">
        <v>21</v>
      </c>
      <c r="E1" s="2" t="s">
        <v>31</v>
      </c>
    </row>
    <row r="2">
      <c r="A2" s="5" t="s">
        <v>36</v>
      </c>
      <c r="B2" s="5">
        <v>30.0</v>
      </c>
      <c r="C2" s="21">
        <v>5.921681626E9</v>
      </c>
      <c r="D2" s="22">
        <v>6.10335409E9</v>
      </c>
      <c r="E2" s="10">
        <f t="shared" ref="E2:E101" si="1">SUM(A2:D2)</f>
        <v>12025035746</v>
      </c>
    </row>
    <row r="3">
      <c r="A3" s="12" t="s">
        <v>36</v>
      </c>
      <c r="B3" s="12">
        <v>27.72</v>
      </c>
      <c r="C3" s="21">
        <v>2.868881101E9</v>
      </c>
      <c r="D3" s="22">
        <v>5.450279968E9</v>
      </c>
      <c r="E3" s="10">
        <f t="shared" si="1"/>
        <v>8319161097</v>
      </c>
    </row>
    <row r="4">
      <c r="A4" s="12" t="s">
        <v>36</v>
      </c>
      <c r="B4" s="12">
        <v>26.22</v>
      </c>
      <c r="C4" s="21">
        <v>3.087061854E9</v>
      </c>
      <c r="D4" s="22">
        <v>3.208613846E9</v>
      </c>
      <c r="E4" s="10">
        <f t="shared" si="1"/>
        <v>6295675726</v>
      </c>
    </row>
    <row r="5">
      <c r="A5" s="12" t="s">
        <v>36</v>
      </c>
      <c r="B5" s="12">
        <v>26.55</v>
      </c>
      <c r="C5" s="21">
        <v>1.567042E9</v>
      </c>
      <c r="D5" s="22">
        <v>1.549549E9</v>
      </c>
      <c r="E5" s="10">
        <f t="shared" si="1"/>
        <v>3116591027</v>
      </c>
    </row>
    <row r="6">
      <c r="A6" s="12" t="s">
        <v>36</v>
      </c>
      <c r="B6" s="12">
        <v>22.88</v>
      </c>
      <c r="C6" s="21">
        <v>2.010897501E9</v>
      </c>
      <c r="D6" s="22">
        <v>1.538772593E9</v>
      </c>
      <c r="E6" s="10">
        <f t="shared" si="1"/>
        <v>3549670117</v>
      </c>
    </row>
    <row r="7">
      <c r="A7" s="12" t="s">
        <v>36</v>
      </c>
      <c r="B7" s="12">
        <v>21.46</v>
      </c>
      <c r="C7" s="21">
        <v>2.608139478E9</v>
      </c>
      <c r="D7" s="22">
        <v>1.426213921E9</v>
      </c>
      <c r="E7" s="10">
        <f t="shared" si="1"/>
        <v>4034353420</v>
      </c>
    </row>
    <row r="8">
      <c r="A8" s="12" t="s">
        <v>36</v>
      </c>
      <c r="B8" s="12">
        <v>25.71</v>
      </c>
      <c r="C8" s="21">
        <v>7.66826459E8</v>
      </c>
      <c r="D8" s="22">
        <v>6.31066623E8</v>
      </c>
      <c r="E8" s="10">
        <f t="shared" si="1"/>
        <v>1397893108</v>
      </c>
    </row>
    <row r="9">
      <c r="A9" s="12" t="s">
        <v>36</v>
      </c>
      <c r="B9" s="12">
        <v>18.32</v>
      </c>
      <c r="C9" s="21">
        <v>1.163504387E9</v>
      </c>
      <c r="D9" s="22">
        <v>1.133972053E9</v>
      </c>
      <c r="E9" s="10">
        <f t="shared" si="1"/>
        <v>2297476458</v>
      </c>
    </row>
    <row r="10">
      <c r="A10" s="12" t="s">
        <v>46</v>
      </c>
      <c r="B10" s="12">
        <v>19.73</v>
      </c>
      <c r="C10" s="21">
        <v>7.42617387E8</v>
      </c>
      <c r="D10" s="22">
        <v>4.98821827E8</v>
      </c>
      <c r="E10" s="10">
        <f t="shared" si="1"/>
        <v>1241439234</v>
      </c>
    </row>
    <row r="11">
      <c r="A11" s="12" t="s">
        <v>48</v>
      </c>
      <c r="B11" s="12">
        <v>17.56</v>
      </c>
      <c r="C11" s="21">
        <v>6.64776751E8</v>
      </c>
      <c r="D11" s="22">
        <v>5.59580776E8</v>
      </c>
      <c r="E11" s="10">
        <f t="shared" si="1"/>
        <v>1224357545</v>
      </c>
    </row>
    <row r="12">
      <c r="A12" s="12" t="s">
        <v>50</v>
      </c>
      <c r="B12" s="12">
        <v>18.4</v>
      </c>
      <c r="C12" s="21">
        <v>1.697723844E9</v>
      </c>
      <c r="D12" s="22">
        <v>7.17755528E8</v>
      </c>
      <c r="E12" s="10">
        <f t="shared" si="1"/>
        <v>2415479390</v>
      </c>
    </row>
    <row r="13">
      <c r="A13" s="12" t="s">
        <v>36</v>
      </c>
      <c r="B13" s="12">
        <v>20.19</v>
      </c>
      <c r="C13" s="21">
        <v>3.26495406E8</v>
      </c>
      <c r="D13" s="22">
        <v>3.99551878E8</v>
      </c>
      <c r="E13" s="10">
        <f t="shared" si="1"/>
        <v>726047304.2</v>
      </c>
    </row>
    <row r="14">
      <c r="A14" s="12" t="s">
        <v>46</v>
      </c>
      <c r="B14" s="12">
        <v>17.74</v>
      </c>
      <c r="C14" s="21">
        <v>3.97495734E8</v>
      </c>
      <c r="D14" s="22">
        <v>2.59984737E8</v>
      </c>
      <c r="E14" s="10">
        <f t="shared" si="1"/>
        <v>657480488.7</v>
      </c>
    </row>
    <row r="15">
      <c r="A15" s="12" t="s">
        <v>55</v>
      </c>
      <c r="B15" s="12">
        <v>13.48</v>
      </c>
      <c r="C15" s="21">
        <v>9.66825153E8</v>
      </c>
      <c r="D15" s="22">
        <v>9.09885485E8</v>
      </c>
      <c r="E15" s="10">
        <f t="shared" si="1"/>
        <v>1876710651</v>
      </c>
    </row>
    <row r="16">
      <c r="A16" s="12" t="s">
        <v>56</v>
      </c>
      <c r="B16" s="12">
        <v>18.2</v>
      </c>
      <c r="C16" s="21">
        <v>4.2779887E8</v>
      </c>
      <c r="D16" s="22">
        <v>6.01642126E8</v>
      </c>
      <c r="E16" s="10">
        <f t="shared" si="1"/>
        <v>1029441014</v>
      </c>
    </row>
    <row r="17">
      <c r="A17" s="12" t="s">
        <v>58</v>
      </c>
      <c r="B17" s="12">
        <v>10.2</v>
      </c>
      <c r="C17" s="21">
        <v>1.597899051E9</v>
      </c>
      <c r="D17" s="22">
        <v>1.094202349E9</v>
      </c>
      <c r="E17" s="10">
        <f t="shared" si="1"/>
        <v>2692101410</v>
      </c>
    </row>
    <row r="18">
      <c r="A18" s="12" t="s">
        <v>60</v>
      </c>
      <c r="B18" s="12">
        <v>24.24</v>
      </c>
      <c r="C18" s="21">
        <v>1.611613214E9</v>
      </c>
      <c r="D18" s="22">
        <v>2.063962125E9</v>
      </c>
      <c r="E18" s="10">
        <f t="shared" si="1"/>
        <v>3675575363</v>
      </c>
    </row>
    <row r="19">
      <c r="A19" s="12" t="s">
        <v>62</v>
      </c>
      <c r="B19" s="12">
        <v>13.97</v>
      </c>
      <c r="C19" s="21">
        <v>1.68358237E8</v>
      </c>
      <c r="D19" s="22">
        <v>1.1007533E8</v>
      </c>
      <c r="E19" s="10">
        <f t="shared" si="1"/>
        <v>278433581</v>
      </c>
    </row>
    <row r="20">
      <c r="A20" s="12" t="s">
        <v>36</v>
      </c>
      <c r="B20" s="12">
        <v>20.2</v>
      </c>
      <c r="C20" s="21">
        <v>6.04560121E8</v>
      </c>
      <c r="D20" s="22">
        <v>9.81207116E8</v>
      </c>
      <c r="E20" s="10">
        <f t="shared" si="1"/>
        <v>1585767257</v>
      </c>
    </row>
    <row r="21">
      <c r="A21" s="12" t="s">
        <v>65</v>
      </c>
      <c r="B21" s="12">
        <v>12.8</v>
      </c>
      <c r="C21" s="21">
        <v>3.32441631E8</v>
      </c>
      <c r="D21" s="22">
        <v>2.59251911E8</v>
      </c>
      <c r="E21" s="10">
        <f t="shared" si="1"/>
        <v>591693554.8</v>
      </c>
    </row>
    <row r="22">
      <c r="A22" s="12" t="s">
        <v>66</v>
      </c>
      <c r="B22" s="12">
        <v>18.89</v>
      </c>
      <c r="C22" s="21">
        <v>7.7384805E8</v>
      </c>
      <c r="D22" s="22">
        <v>3.78319403E8</v>
      </c>
      <c r="E22" s="10">
        <f t="shared" si="1"/>
        <v>1152167472</v>
      </c>
    </row>
    <row r="23">
      <c r="A23" s="12" t="s">
        <v>68</v>
      </c>
      <c r="B23" s="12">
        <v>17.06</v>
      </c>
      <c r="C23" s="21">
        <v>1.303010026E9</v>
      </c>
      <c r="D23" s="22">
        <v>1.016487325E9</v>
      </c>
      <c r="E23" s="10">
        <f t="shared" si="1"/>
        <v>2319497368</v>
      </c>
    </row>
    <row r="24">
      <c r="A24" s="12" t="s">
        <v>70</v>
      </c>
      <c r="B24" s="12">
        <v>15.73</v>
      </c>
      <c r="C24" s="21">
        <v>2.100515011E9</v>
      </c>
      <c r="D24" s="22">
        <v>1.543884369E9</v>
      </c>
      <c r="E24" s="10">
        <f t="shared" si="1"/>
        <v>3644399396</v>
      </c>
    </row>
    <row r="25">
      <c r="A25" s="12" t="s">
        <v>72</v>
      </c>
      <c r="B25" s="12">
        <v>16.67</v>
      </c>
      <c r="C25" s="21">
        <v>4.2557802E7</v>
      </c>
      <c r="D25" s="22">
        <v>4.0823834E7</v>
      </c>
      <c r="E25" s="10">
        <f t="shared" si="1"/>
        <v>83381652.67</v>
      </c>
    </row>
    <row r="26">
      <c r="A26" s="12" t="s">
        <v>36</v>
      </c>
      <c r="B26" s="12">
        <v>25.57</v>
      </c>
      <c r="C26" s="21">
        <v>3.00529437E8</v>
      </c>
      <c r="D26" s="22">
        <v>2.62594378E8</v>
      </c>
      <c r="E26" s="10">
        <f t="shared" si="1"/>
        <v>563123840.6</v>
      </c>
    </row>
    <row r="27">
      <c r="A27" s="12" t="s">
        <v>36</v>
      </c>
      <c r="B27" s="12">
        <v>21.51</v>
      </c>
      <c r="C27" s="21">
        <v>3.97543418E8</v>
      </c>
      <c r="D27" s="22">
        <v>3.04265049E8</v>
      </c>
      <c r="E27" s="10">
        <f t="shared" si="1"/>
        <v>701808488.5</v>
      </c>
    </row>
    <row r="28">
      <c r="A28" s="12" t="s">
        <v>36</v>
      </c>
      <c r="B28" s="12">
        <v>25.44</v>
      </c>
      <c r="C28" s="21">
        <v>8.93867006E8</v>
      </c>
      <c r="D28" s="22">
        <v>8.61912155E8</v>
      </c>
      <c r="E28" s="10">
        <f t="shared" si="1"/>
        <v>1755779186</v>
      </c>
    </row>
    <row r="29">
      <c r="A29" s="12" t="s">
        <v>46</v>
      </c>
      <c r="B29" s="12">
        <v>17.68</v>
      </c>
      <c r="C29" s="21">
        <v>2.78315172E8</v>
      </c>
      <c r="D29" s="22">
        <v>5.39231272E8</v>
      </c>
      <c r="E29" s="10">
        <f t="shared" si="1"/>
        <v>817546461.7</v>
      </c>
    </row>
    <row r="30">
      <c r="A30" s="12" t="s">
        <v>78</v>
      </c>
      <c r="B30" s="12">
        <v>15.31</v>
      </c>
      <c r="C30" s="21">
        <v>7.96424349E8</v>
      </c>
      <c r="D30" s="22">
        <v>5.24382088E8</v>
      </c>
      <c r="E30" s="10">
        <f t="shared" si="1"/>
        <v>1320806452</v>
      </c>
    </row>
    <row r="31">
      <c r="A31" s="12" t="s">
        <v>81</v>
      </c>
      <c r="B31" s="12">
        <v>12.0</v>
      </c>
      <c r="C31" s="21">
        <v>5.05645004E8</v>
      </c>
      <c r="D31" s="22">
        <v>3.05078898E8</v>
      </c>
      <c r="E31" s="10">
        <f t="shared" si="1"/>
        <v>810723914</v>
      </c>
    </row>
    <row r="32">
      <c r="A32" s="12" t="s">
        <v>82</v>
      </c>
      <c r="B32" s="12">
        <v>10.77</v>
      </c>
      <c r="C32" s="21">
        <v>8.65518466E8</v>
      </c>
      <c r="D32" s="22">
        <v>9.07030267E8</v>
      </c>
      <c r="E32" s="10">
        <f t="shared" si="1"/>
        <v>1772548744</v>
      </c>
    </row>
    <row r="33">
      <c r="A33" s="12" t="s">
        <v>84</v>
      </c>
      <c r="B33" s="12">
        <v>20.73</v>
      </c>
      <c r="C33" s="21">
        <v>1.146383199E9</v>
      </c>
      <c r="D33" s="22">
        <v>3.03796355E8</v>
      </c>
      <c r="E33" s="10">
        <f t="shared" si="1"/>
        <v>1450179575</v>
      </c>
    </row>
    <row r="34">
      <c r="A34" s="12" t="s">
        <v>86</v>
      </c>
      <c r="B34" s="12">
        <v>12.78</v>
      </c>
      <c r="C34" s="21">
        <v>2.78863222E8</v>
      </c>
      <c r="D34" s="22">
        <v>2.7965991E8</v>
      </c>
      <c r="E34" s="10">
        <f t="shared" si="1"/>
        <v>558523144.8</v>
      </c>
    </row>
    <row r="35">
      <c r="A35" s="12" t="s">
        <v>88</v>
      </c>
      <c r="B35" s="12">
        <v>17.6</v>
      </c>
      <c r="C35" s="21">
        <v>3.6739349E7</v>
      </c>
      <c r="D35" s="22">
        <v>3.5640658E7</v>
      </c>
      <c r="E35" s="10">
        <f t="shared" si="1"/>
        <v>72380024.6</v>
      </c>
    </row>
    <row r="36">
      <c r="A36" s="12" t="s">
        <v>90</v>
      </c>
      <c r="B36" s="12">
        <v>10.66</v>
      </c>
      <c r="C36" s="21">
        <v>5.19124912E8</v>
      </c>
      <c r="D36" s="22">
        <v>4.80389702E8</v>
      </c>
      <c r="E36" s="10">
        <f t="shared" si="1"/>
        <v>999514624.7</v>
      </c>
    </row>
    <row r="37">
      <c r="A37" s="12" t="s">
        <v>92</v>
      </c>
      <c r="B37" s="12">
        <v>15.61</v>
      </c>
      <c r="C37" s="21">
        <v>1.015222524E9</v>
      </c>
      <c r="D37" s="22">
        <v>7.55563735E8</v>
      </c>
      <c r="E37" s="10">
        <f t="shared" si="1"/>
        <v>1770786275</v>
      </c>
    </row>
    <row r="38">
      <c r="A38" s="12" t="s">
        <v>93</v>
      </c>
      <c r="B38" s="12">
        <v>12.92</v>
      </c>
      <c r="C38" s="21">
        <v>9.7564467E7</v>
      </c>
      <c r="D38" s="22">
        <v>7.6712836E7</v>
      </c>
      <c r="E38" s="10">
        <f t="shared" si="1"/>
        <v>174277315.9</v>
      </c>
    </row>
    <row r="39">
      <c r="A39" s="12" t="s">
        <v>95</v>
      </c>
      <c r="B39" s="12">
        <v>19.2</v>
      </c>
      <c r="C39" s="21">
        <v>1.46193212E8</v>
      </c>
      <c r="D39" s="22">
        <v>1.8650721E8</v>
      </c>
      <c r="E39" s="10">
        <f t="shared" si="1"/>
        <v>332700441.2</v>
      </c>
    </row>
    <row r="40">
      <c r="A40" s="12" t="s">
        <v>97</v>
      </c>
      <c r="B40" s="12">
        <v>18.49</v>
      </c>
      <c r="C40" s="21">
        <v>2.22175299E8</v>
      </c>
      <c r="D40" s="22">
        <v>2.97216281E8</v>
      </c>
      <c r="E40" s="10">
        <f t="shared" si="1"/>
        <v>519391598.5</v>
      </c>
    </row>
    <row r="41">
      <c r="A41" s="12" t="s">
        <v>99</v>
      </c>
      <c r="B41" s="12">
        <v>14.07</v>
      </c>
      <c r="C41" s="21">
        <v>8.3327024E8</v>
      </c>
      <c r="D41" s="22">
        <v>1.019283591E9</v>
      </c>
      <c r="E41" s="10">
        <f t="shared" si="1"/>
        <v>1852553845</v>
      </c>
    </row>
    <row r="42">
      <c r="A42" s="12" t="s">
        <v>101</v>
      </c>
      <c r="B42" s="12">
        <v>18.3</v>
      </c>
      <c r="C42" s="21">
        <v>2.77028595E8</v>
      </c>
      <c r="D42" s="22">
        <v>3.14516665E8</v>
      </c>
      <c r="E42" s="10">
        <f t="shared" si="1"/>
        <v>591545278.3</v>
      </c>
    </row>
    <row r="43">
      <c r="A43" s="12" t="s">
        <v>102</v>
      </c>
      <c r="B43" s="12">
        <v>14.9</v>
      </c>
      <c r="C43" s="21">
        <v>3.43466295E8</v>
      </c>
      <c r="D43" s="22">
        <v>2.77129527E8</v>
      </c>
      <c r="E43" s="10">
        <f t="shared" si="1"/>
        <v>620595836.9</v>
      </c>
    </row>
    <row r="44">
      <c r="A44" s="12" t="s">
        <v>104</v>
      </c>
      <c r="B44" s="12">
        <v>16.99</v>
      </c>
      <c r="C44" s="21">
        <v>2.47972045E8</v>
      </c>
      <c r="D44" s="22">
        <v>1.94472543E8</v>
      </c>
      <c r="E44" s="10">
        <f t="shared" si="1"/>
        <v>442444605</v>
      </c>
    </row>
    <row r="45">
      <c r="A45" s="12" t="s">
        <v>106</v>
      </c>
      <c r="B45" s="12">
        <v>16.73</v>
      </c>
      <c r="C45" s="21">
        <v>2.65681486E8</v>
      </c>
      <c r="D45" s="22">
        <v>3.25889155E8</v>
      </c>
      <c r="E45" s="10">
        <f t="shared" si="1"/>
        <v>591570657.7</v>
      </c>
    </row>
    <row r="46">
      <c r="A46" s="15" t="s">
        <v>108</v>
      </c>
      <c r="B46" s="12">
        <v>9.76</v>
      </c>
      <c r="C46" s="21">
        <v>2.90276366E8</v>
      </c>
      <c r="D46" s="22">
        <v>1.37412563E8</v>
      </c>
      <c r="E46" s="10">
        <f t="shared" si="1"/>
        <v>427688938.8</v>
      </c>
    </row>
    <row r="47">
      <c r="A47" s="12" t="s">
        <v>109</v>
      </c>
      <c r="B47" s="12">
        <v>13.5</v>
      </c>
      <c r="C47" s="21">
        <v>1.01412646E8</v>
      </c>
      <c r="D47" s="22">
        <v>2.00983907E8</v>
      </c>
      <c r="E47" s="10">
        <f t="shared" si="1"/>
        <v>302396566.5</v>
      </c>
    </row>
    <row r="48">
      <c r="A48" s="15" t="s">
        <v>111</v>
      </c>
      <c r="B48" s="12">
        <v>14.5</v>
      </c>
      <c r="C48" s="21">
        <v>1.3989376E8</v>
      </c>
      <c r="D48" s="22">
        <v>1.11918537E8</v>
      </c>
      <c r="E48" s="10">
        <f t="shared" si="1"/>
        <v>251812311.5</v>
      </c>
    </row>
    <row r="49">
      <c r="A49" s="12" t="s">
        <v>113</v>
      </c>
      <c r="B49" s="12">
        <v>7.08</v>
      </c>
      <c r="C49" s="21">
        <v>1.02577458E8</v>
      </c>
      <c r="D49" s="22">
        <v>1.53320937E8</v>
      </c>
      <c r="E49" s="10">
        <f t="shared" si="1"/>
        <v>255898402.1</v>
      </c>
    </row>
    <row r="50">
      <c r="A50" s="12" t="s">
        <v>115</v>
      </c>
      <c r="B50" s="12">
        <v>15.67</v>
      </c>
      <c r="C50" s="21">
        <v>1.66942626E8</v>
      </c>
      <c r="D50" s="22">
        <v>2.42513505E8</v>
      </c>
      <c r="E50" s="10">
        <f t="shared" si="1"/>
        <v>409456146.7</v>
      </c>
    </row>
    <row r="51">
      <c r="A51" s="12" t="s">
        <v>117</v>
      </c>
      <c r="B51" s="12">
        <v>15.06</v>
      </c>
      <c r="C51" s="21">
        <v>2.62694377E8</v>
      </c>
      <c r="D51" s="22">
        <v>2.40706882E8</v>
      </c>
      <c r="E51" s="10">
        <f t="shared" si="1"/>
        <v>503401274.1</v>
      </c>
    </row>
    <row r="52">
      <c r="A52" s="12" t="s">
        <v>119</v>
      </c>
      <c r="B52" s="12">
        <v>15.72</v>
      </c>
      <c r="C52" s="21">
        <v>3.15840026E8</v>
      </c>
      <c r="D52" s="22">
        <v>1.98877066E8</v>
      </c>
      <c r="E52" s="10">
        <f t="shared" si="1"/>
        <v>514717107.7</v>
      </c>
    </row>
    <row r="53">
      <c r="A53" s="12" t="s">
        <v>121</v>
      </c>
      <c r="B53" s="12">
        <v>11.97</v>
      </c>
      <c r="C53" s="21">
        <v>1.89695219E8</v>
      </c>
      <c r="D53" s="22">
        <v>1.32441119E8</v>
      </c>
      <c r="E53" s="10">
        <f t="shared" si="1"/>
        <v>322136350</v>
      </c>
    </row>
    <row r="54">
      <c r="A54" s="12" t="s">
        <v>122</v>
      </c>
      <c r="B54" s="12">
        <v>13.5</v>
      </c>
      <c r="C54" s="21">
        <v>1.05619222E8</v>
      </c>
      <c r="D54" s="22">
        <v>5.2118835E7</v>
      </c>
      <c r="E54" s="10">
        <f t="shared" si="1"/>
        <v>157738070.5</v>
      </c>
    </row>
    <row r="55">
      <c r="A55" s="12" t="s">
        <v>123</v>
      </c>
      <c r="B55" s="12">
        <v>16.17</v>
      </c>
      <c r="C55" s="21">
        <v>2.4051633E8</v>
      </c>
      <c r="D55" s="22">
        <v>2.67759434E8</v>
      </c>
      <c r="E55" s="10">
        <f t="shared" si="1"/>
        <v>508275780.2</v>
      </c>
    </row>
    <row r="56">
      <c r="A56" s="12" t="s">
        <v>125</v>
      </c>
      <c r="B56" s="12">
        <v>12.9</v>
      </c>
      <c r="C56" s="21">
        <v>4.38075054E8</v>
      </c>
      <c r="D56" s="22">
        <v>1.60670268E8</v>
      </c>
      <c r="E56" s="10">
        <f t="shared" si="1"/>
        <v>598745334.9</v>
      </c>
    </row>
    <row r="57">
      <c r="A57" s="12" t="s">
        <v>127</v>
      </c>
      <c r="B57" s="12">
        <v>24.63</v>
      </c>
      <c r="C57" s="21">
        <v>6.87655128E8</v>
      </c>
      <c r="D57" s="22">
        <v>2.346395391E9</v>
      </c>
      <c r="E57" s="10">
        <f t="shared" si="1"/>
        <v>3034050544</v>
      </c>
    </row>
    <row r="58">
      <c r="A58" s="12" t="s">
        <v>129</v>
      </c>
      <c r="B58" s="12">
        <v>25.61</v>
      </c>
      <c r="C58" s="21">
        <v>1.711918024E9</v>
      </c>
      <c r="D58" s="22">
        <v>5.61886117E8</v>
      </c>
      <c r="E58" s="10">
        <f t="shared" si="1"/>
        <v>2273804167</v>
      </c>
    </row>
    <row r="59">
      <c r="A59" s="12" t="s">
        <v>131</v>
      </c>
      <c r="B59" s="12">
        <v>10.49</v>
      </c>
      <c r="C59" s="21">
        <v>4.26500946E8</v>
      </c>
      <c r="D59" s="22">
        <v>1.63060753E8</v>
      </c>
      <c r="E59" s="10">
        <f t="shared" si="1"/>
        <v>589561709.5</v>
      </c>
    </row>
    <row r="60">
      <c r="A60" s="12" t="s">
        <v>132</v>
      </c>
      <c r="B60" s="12">
        <v>10.76</v>
      </c>
      <c r="C60" s="21">
        <v>4.35050565E8</v>
      </c>
      <c r="D60" s="22">
        <v>2.74724584E8</v>
      </c>
      <c r="E60" s="10">
        <f t="shared" si="1"/>
        <v>709775159.8</v>
      </c>
    </row>
    <row r="61">
      <c r="A61" s="12" t="s">
        <v>134</v>
      </c>
      <c r="B61" s="12">
        <v>13.64</v>
      </c>
      <c r="C61" s="21">
        <v>3.43392487E8</v>
      </c>
      <c r="D61" s="22">
        <v>2.4122069E8</v>
      </c>
      <c r="E61" s="10">
        <f t="shared" si="1"/>
        <v>584613190.6</v>
      </c>
    </row>
    <row r="62">
      <c r="A62" s="12" t="s">
        <v>136</v>
      </c>
      <c r="B62" s="12">
        <v>22.27</v>
      </c>
      <c r="C62" s="21">
        <v>2.39753946E8</v>
      </c>
      <c r="D62" s="22">
        <v>2.25940776E8</v>
      </c>
      <c r="E62" s="10">
        <f t="shared" si="1"/>
        <v>465694744.3</v>
      </c>
    </row>
    <row r="63">
      <c r="A63" s="15" t="s">
        <v>138</v>
      </c>
      <c r="B63" s="12">
        <v>15.78</v>
      </c>
      <c r="C63" s="21">
        <v>1.67772891E8</v>
      </c>
      <c r="D63" s="22">
        <v>2.81255718E8</v>
      </c>
      <c r="E63" s="10">
        <f t="shared" si="1"/>
        <v>449028624.8</v>
      </c>
    </row>
    <row r="64">
      <c r="A64" s="15" t="s">
        <v>140</v>
      </c>
      <c r="B64" s="12">
        <v>16.16</v>
      </c>
      <c r="C64" s="21">
        <v>1.30125915E8</v>
      </c>
      <c r="D64" s="22">
        <v>1.93773258E8</v>
      </c>
      <c r="E64" s="10">
        <f t="shared" si="1"/>
        <v>323899189.2</v>
      </c>
    </row>
    <row r="65">
      <c r="A65" s="15" t="s">
        <v>141</v>
      </c>
      <c r="B65" s="12">
        <v>20.16</v>
      </c>
      <c r="C65" s="21">
        <v>2.96620551E8</v>
      </c>
      <c r="D65" s="22">
        <v>2.63686709E8</v>
      </c>
      <c r="E65" s="10">
        <f t="shared" si="1"/>
        <v>560307280.2</v>
      </c>
    </row>
    <row r="66">
      <c r="A66" s="15" t="s">
        <v>143</v>
      </c>
      <c r="B66" s="12">
        <v>22.32</v>
      </c>
      <c r="C66" s="21">
        <v>9.8362618E8</v>
      </c>
      <c r="D66" s="22">
        <v>2.68202235E8</v>
      </c>
      <c r="E66" s="10">
        <f t="shared" si="1"/>
        <v>1251828437</v>
      </c>
    </row>
    <row r="67">
      <c r="A67" s="12" t="s">
        <v>145</v>
      </c>
      <c r="B67" s="12">
        <v>15.27</v>
      </c>
      <c r="C67" s="21">
        <v>5.4031509E8</v>
      </c>
      <c r="D67" s="22">
        <v>3.40127611E8</v>
      </c>
      <c r="E67" s="10">
        <f t="shared" si="1"/>
        <v>880442716.3</v>
      </c>
    </row>
    <row r="68">
      <c r="A68" s="15" t="s">
        <v>147</v>
      </c>
      <c r="B68" s="12">
        <v>9.43</v>
      </c>
      <c r="C68" s="21">
        <v>1.75541E8</v>
      </c>
      <c r="D68" s="22">
        <v>9.3004E7</v>
      </c>
      <c r="E68" s="10">
        <f t="shared" si="1"/>
        <v>268545009.4</v>
      </c>
    </row>
    <row r="69">
      <c r="A69" s="12" t="s">
        <v>148</v>
      </c>
      <c r="B69" s="12">
        <v>9.58</v>
      </c>
      <c r="C69" s="21">
        <v>7.99875159E8</v>
      </c>
      <c r="D69" s="22">
        <v>7.79801567E8</v>
      </c>
      <c r="E69" s="10">
        <f t="shared" si="1"/>
        <v>1579676736</v>
      </c>
    </row>
    <row r="70">
      <c r="A70" s="15" t="s">
        <v>149</v>
      </c>
      <c r="B70" s="12">
        <v>25.89</v>
      </c>
      <c r="C70" s="21">
        <v>7.4455684E7</v>
      </c>
      <c r="D70" s="22">
        <v>1.5403604E8</v>
      </c>
      <c r="E70" s="10">
        <f t="shared" si="1"/>
        <v>228491749.9</v>
      </c>
    </row>
    <row r="71">
      <c r="A71" s="12" t="s">
        <v>151</v>
      </c>
      <c r="B71" s="12">
        <v>12.09</v>
      </c>
      <c r="C71" s="21">
        <v>4.70946939E8</v>
      </c>
      <c r="D71" s="22">
        <v>4.02143657E8</v>
      </c>
      <c r="E71" s="10">
        <f t="shared" si="1"/>
        <v>873090608.1</v>
      </c>
    </row>
    <row r="72">
      <c r="A72" s="12" t="s">
        <v>152</v>
      </c>
      <c r="B72" s="12">
        <v>11.34</v>
      </c>
      <c r="C72" s="21">
        <v>1.30788607E8</v>
      </c>
      <c r="D72" s="22">
        <v>1.19585768E8</v>
      </c>
      <c r="E72" s="10">
        <f t="shared" si="1"/>
        <v>250374386.3</v>
      </c>
    </row>
    <row r="73">
      <c r="A73" s="12" t="s">
        <v>154</v>
      </c>
      <c r="B73" s="12">
        <v>24.45</v>
      </c>
      <c r="C73" s="21">
        <v>2.866249619E9</v>
      </c>
      <c r="D73" s="22">
        <v>6.84116259E9</v>
      </c>
      <c r="E73" s="10">
        <f t="shared" si="1"/>
        <v>9707412233</v>
      </c>
    </row>
    <row r="74">
      <c r="A74" s="12" t="s">
        <v>156</v>
      </c>
      <c r="B74" s="12">
        <v>16.29</v>
      </c>
      <c r="C74" s="21">
        <v>2.18135957E8</v>
      </c>
      <c r="D74" s="22">
        <v>2.36567772E8</v>
      </c>
      <c r="E74" s="10">
        <f t="shared" si="1"/>
        <v>454703745.3</v>
      </c>
    </row>
    <row r="75">
      <c r="A75" s="12" t="s">
        <v>158</v>
      </c>
      <c r="B75" s="12">
        <v>14.38</v>
      </c>
      <c r="C75" s="21">
        <v>4.6031672E7</v>
      </c>
      <c r="D75" s="22">
        <v>1.6324497E7</v>
      </c>
      <c r="E75" s="10">
        <f t="shared" si="1"/>
        <v>62356183.38</v>
      </c>
    </row>
    <row r="76">
      <c r="A76" s="12" t="s">
        <v>159</v>
      </c>
      <c r="B76" s="12">
        <v>11.43</v>
      </c>
      <c r="C76" s="21">
        <v>1.90535647E8</v>
      </c>
      <c r="D76" s="22">
        <v>9.1032039E7</v>
      </c>
      <c r="E76" s="10">
        <f t="shared" si="1"/>
        <v>281567697.4</v>
      </c>
    </row>
    <row r="77">
      <c r="A77" s="12" t="s">
        <v>160</v>
      </c>
      <c r="B77" s="12">
        <v>10.97</v>
      </c>
      <c r="C77" s="21">
        <v>1.69485705E8</v>
      </c>
      <c r="D77" s="22">
        <v>5.9003866E7</v>
      </c>
      <c r="E77" s="10">
        <f t="shared" si="1"/>
        <v>228489582</v>
      </c>
    </row>
    <row r="78">
      <c r="A78" s="15" t="s">
        <v>161</v>
      </c>
      <c r="B78" s="12">
        <v>19.88</v>
      </c>
      <c r="C78" s="21">
        <v>8.51667497E8</v>
      </c>
      <c r="D78" s="22">
        <v>8.5276674E7</v>
      </c>
      <c r="E78" s="10">
        <f t="shared" si="1"/>
        <v>936944190.9</v>
      </c>
    </row>
    <row r="79">
      <c r="A79" s="12" t="s">
        <v>163</v>
      </c>
      <c r="B79" s="12">
        <v>20.26</v>
      </c>
      <c r="C79" s="21">
        <v>3.19328321E8</v>
      </c>
      <c r="D79" s="22">
        <v>2.01493033E8</v>
      </c>
      <c r="E79" s="10">
        <f t="shared" si="1"/>
        <v>520821374.3</v>
      </c>
    </row>
    <row r="80">
      <c r="A80" s="15" t="s">
        <v>165</v>
      </c>
      <c r="B80" s="12">
        <v>22.29</v>
      </c>
      <c r="C80" s="21">
        <v>6.8367387E7</v>
      </c>
      <c r="D80" s="22">
        <v>1.20373363E8</v>
      </c>
      <c r="E80" s="10">
        <f t="shared" si="1"/>
        <v>188740772.3</v>
      </c>
    </row>
    <row r="81">
      <c r="A81" s="12" t="s">
        <v>167</v>
      </c>
      <c r="B81" s="12">
        <v>7.21</v>
      </c>
      <c r="C81" s="21">
        <v>1.95954647E8</v>
      </c>
      <c r="D81" s="22">
        <v>1.19363092E8</v>
      </c>
      <c r="E81" s="10">
        <f t="shared" si="1"/>
        <v>315317746.2</v>
      </c>
    </row>
    <row r="82">
      <c r="A82" s="12" t="s">
        <v>169</v>
      </c>
      <c r="B82" s="12">
        <v>13.33</v>
      </c>
      <c r="C82" s="21">
        <v>4.83950962E8</v>
      </c>
      <c r="D82" s="22">
        <v>1.74471305E8</v>
      </c>
      <c r="E82" s="10">
        <f t="shared" si="1"/>
        <v>658422280.3</v>
      </c>
    </row>
    <row r="83">
      <c r="A83" s="15" t="s">
        <v>171</v>
      </c>
      <c r="B83" s="12">
        <v>14.68</v>
      </c>
      <c r="C83" s="21">
        <v>2.27525332E8</v>
      </c>
      <c r="D83" s="22">
        <v>2.88080414E8</v>
      </c>
      <c r="E83" s="10">
        <f t="shared" si="1"/>
        <v>515605760.7</v>
      </c>
    </row>
    <row r="84">
      <c r="A84" s="15" t="s">
        <v>173</v>
      </c>
      <c r="B84" s="12">
        <v>17.72</v>
      </c>
      <c r="C84" s="21">
        <v>1.665329E8</v>
      </c>
      <c r="D84" s="22">
        <v>3.40833245E8</v>
      </c>
      <c r="E84" s="10">
        <f t="shared" si="1"/>
        <v>507366162.7</v>
      </c>
    </row>
    <row r="85">
      <c r="A85" s="15" t="s">
        <v>175</v>
      </c>
      <c r="B85" s="12">
        <v>9.56</v>
      </c>
      <c r="C85" s="21">
        <v>1.67258475E8</v>
      </c>
      <c r="D85" s="22">
        <v>1.47832072E8</v>
      </c>
      <c r="E85" s="10">
        <f t="shared" si="1"/>
        <v>315090556.6</v>
      </c>
    </row>
    <row r="86">
      <c r="A86" s="15" t="s">
        <v>176</v>
      </c>
      <c r="B86" s="12">
        <v>13.49</v>
      </c>
      <c r="C86" s="21">
        <v>1.73766E8</v>
      </c>
      <c r="D86" s="22">
        <v>2.17260098E8</v>
      </c>
      <c r="E86" s="10">
        <f t="shared" si="1"/>
        <v>391026111.5</v>
      </c>
    </row>
    <row r="87">
      <c r="A87" s="15" t="s">
        <v>178</v>
      </c>
      <c r="B87" s="12">
        <v>11.47</v>
      </c>
      <c r="C87" s="21">
        <v>1.07123043E8</v>
      </c>
      <c r="D87" s="22">
        <v>1.01932209E8</v>
      </c>
      <c r="E87" s="10">
        <f t="shared" si="1"/>
        <v>209055263.5</v>
      </c>
    </row>
    <row r="88">
      <c r="A88" s="15" t="s">
        <v>180</v>
      </c>
      <c r="B88" s="12">
        <v>6.6</v>
      </c>
      <c r="C88" s="21">
        <v>1.06842558E8</v>
      </c>
      <c r="D88" s="22">
        <v>5.9450809E7</v>
      </c>
      <c r="E88" s="10">
        <f t="shared" si="1"/>
        <v>166293373.6</v>
      </c>
    </row>
    <row r="89">
      <c r="A89" s="15" t="s">
        <v>181</v>
      </c>
      <c r="B89" s="12">
        <v>19.84</v>
      </c>
      <c r="C89" s="21">
        <v>9.76036145E8</v>
      </c>
      <c r="D89" s="22">
        <v>8.54170873E8</v>
      </c>
      <c r="E89" s="10">
        <f t="shared" si="1"/>
        <v>1830207038</v>
      </c>
    </row>
    <row r="90">
      <c r="A90" s="15" t="s">
        <v>183</v>
      </c>
      <c r="B90" s="12">
        <v>10.67</v>
      </c>
      <c r="C90" s="21">
        <v>1.55867208E8</v>
      </c>
      <c r="D90" s="22">
        <v>9.3226006E7</v>
      </c>
      <c r="E90" s="10">
        <f t="shared" si="1"/>
        <v>249093224.7</v>
      </c>
    </row>
    <row r="91">
      <c r="A91" s="15" t="s">
        <v>185</v>
      </c>
      <c r="B91" s="12">
        <v>17.88</v>
      </c>
      <c r="C91" s="21">
        <v>3.53345736E8</v>
      </c>
      <c r="D91" s="22">
        <v>3.72294263E8</v>
      </c>
      <c r="E91" s="10">
        <f t="shared" si="1"/>
        <v>725640016.9</v>
      </c>
    </row>
    <row r="92">
      <c r="A92" s="15" t="s">
        <v>186</v>
      </c>
      <c r="B92" s="12">
        <v>8.87</v>
      </c>
      <c r="C92" s="21">
        <v>1.94648688E8</v>
      </c>
      <c r="D92" s="22">
        <v>1.26406188E8</v>
      </c>
      <c r="E92" s="10">
        <f t="shared" si="1"/>
        <v>321054884.9</v>
      </c>
    </row>
    <row r="93">
      <c r="A93" s="15" t="s">
        <v>187</v>
      </c>
      <c r="B93" s="12">
        <v>20.97</v>
      </c>
      <c r="C93" s="21">
        <v>2.50390208E8</v>
      </c>
      <c r="D93" s="22">
        <v>3.03729416E8</v>
      </c>
      <c r="E93" s="10">
        <f t="shared" si="1"/>
        <v>554119645</v>
      </c>
    </row>
    <row r="94">
      <c r="A94" s="15" t="s">
        <v>188</v>
      </c>
      <c r="B94" s="12">
        <v>8.36</v>
      </c>
      <c r="C94" s="21">
        <v>4.4559178E7</v>
      </c>
      <c r="D94" s="22">
        <v>3.2699102E7</v>
      </c>
      <c r="E94" s="10">
        <f t="shared" si="1"/>
        <v>77258288.36</v>
      </c>
    </row>
    <row r="95">
      <c r="A95" s="15" t="s">
        <v>190</v>
      </c>
      <c r="B95" s="12">
        <v>14.14</v>
      </c>
      <c r="C95" s="21">
        <v>4.30906034E8</v>
      </c>
      <c r="D95" s="22">
        <v>7.6782105E7</v>
      </c>
      <c r="E95" s="10">
        <f t="shared" si="1"/>
        <v>507688153.1</v>
      </c>
    </row>
    <row r="96">
      <c r="A96" s="15" t="s">
        <v>191</v>
      </c>
      <c r="B96" s="12">
        <v>13.65</v>
      </c>
      <c r="C96" s="21">
        <v>6.48182488E8</v>
      </c>
      <c r="D96" s="22">
        <v>4.54298971E8</v>
      </c>
      <c r="E96" s="10">
        <f t="shared" si="1"/>
        <v>1102481473</v>
      </c>
    </row>
    <row r="97">
      <c r="A97" s="15" t="s">
        <v>192</v>
      </c>
      <c r="B97" s="12">
        <v>15.19</v>
      </c>
      <c r="C97" s="21">
        <v>8.2737259E7</v>
      </c>
      <c r="D97" s="22">
        <v>4.0411075E7</v>
      </c>
      <c r="E97" s="10">
        <f t="shared" si="1"/>
        <v>123148349.2</v>
      </c>
    </row>
    <row r="98">
      <c r="A98" s="15" t="s">
        <v>194</v>
      </c>
      <c r="B98" s="12">
        <v>11.67</v>
      </c>
      <c r="C98" s="21">
        <v>1.48426971E8</v>
      </c>
      <c r="D98" s="22">
        <v>1.21160662E8</v>
      </c>
      <c r="E98" s="10">
        <f t="shared" si="1"/>
        <v>269587644.7</v>
      </c>
    </row>
    <row r="99">
      <c r="A99" s="15" t="s">
        <v>196</v>
      </c>
      <c r="B99" s="12">
        <v>12.47</v>
      </c>
      <c r="C99" s="21">
        <v>3.14072708E8</v>
      </c>
      <c r="D99" s="22">
        <v>3.68228417E8</v>
      </c>
      <c r="E99" s="10">
        <f t="shared" si="1"/>
        <v>682301137.5</v>
      </c>
    </row>
    <row r="100">
      <c r="A100" s="15" t="s">
        <v>198</v>
      </c>
      <c r="B100" s="12">
        <v>14.3</v>
      </c>
      <c r="C100" s="21">
        <v>1.23764578E8</v>
      </c>
      <c r="D100" s="22">
        <v>2.04158231E8</v>
      </c>
      <c r="E100" s="10">
        <f t="shared" si="1"/>
        <v>327922823.3</v>
      </c>
    </row>
    <row r="101">
      <c r="A101" s="15" t="s">
        <v>200</v>
      </c>
      <c r="B101" s="12">
        <v>12.79</v>
      </c>
      <c r="C101" s="21">
        <v>3.04458453E8</v>
      </c>
      <c r="D101" s="22">
        <v>2.74936617E8</v>
      </c>
      <c r="E101" s="10">
        <f t="shared" si="1"/>
        <v>579395082.8</v>
      </c>
    </row>
    <row r="102">
      <c r="C102" s="23"/>
    </row>
    <row r="103">
      <c r="C103" s="23"/>
    </row>
    <row r="104">
      <c r="C104" s="23"/>
    </row>
    <row r="105">
      <c r="C105" s="23"/>
    </row>
    <row r="106">
      <c r="C106" s="23"/>
    </row>
    <row r="107">
      <c r="C107" s="23"/>
    </row>
    <row r="108">
      <c r="C108" s="23"/>
    </row>
    <row r="109">
      <c r="C109" s="23"/>
    </row>
    <row r="110">
      <c r="C110" s="23"/>
    </row>
    <row r="111">
      <c r="C111" s="23"/>
    </row>
    <row r="112">
      <c r="C112" s="23"/>
    </row>
    <row r="113">
      <c r="C113" s="23"/>
    </row>
    <row r="114">
      <c r="C114" s="23"/>
    </row>
    <row r="115">
      <c r="C115" s="23"/>
    </row>
    <row r="116">
      <c r="C116" s="23"/>
    </row>
    <row r="117">
      <c r="C117" s="23"/>
    </row>
    <row r="118">
      <c r="C118" s="23"/>
    </row>
    <row r="119">
      <c r="C119" s="23"/>
    </row>
    <row r="120">
      <c r="C120" s="23"/>
    </row>
    <row r="121">
      <c r="C121" s="23"/>
    </row>
    <row r="122">
      <c r="C122" s="23"/>
    </row>
    <row r="123">
      <c r="C123" s="23"/>
    </row>
    <row r="124">
      <c r="C124" s="23"/>
    </row>
    <row r="125">
      <c r="C125" s="23"/>
    </row>
    <row r="126">
      <c r="C126" s="23"/>
    </row>
    <row r="127">
      <c r="C127" s="23"/>
    </row>
    <row r="128">
      <c r="C128" s="23"/>
    </row>
    <row r="129">
      <c r="C129" s="23"/>
    </row>
    <row r="130">
      <c r="C130" s="23"/>
    </row>
    <row r="131">
      <c r="C131" s="23"/>
    </row>
    <row r="132">
      <c r="C132" s="23"/>
    </row>
    <row r="133">
      <c r="C133" s="23"/>
    </row>
    <row r="134">
      <c r="C134" s="23"/>
    </row>
    <row r="135">
      <c r="C135" s="23"/>
    </row>
    <row r="136">
      <c r="C136" s="23"/>
    </row>
    <row r="137">
      <c r="C137" s="23"/>
    </row>
    <row r="138">
      <c r="C138" s="23"/>
    </row>
    <row r="139">
      <c r="C139" s="23"/>
    </row>
    <row r="140">
      <c r="C140" s="23"/>
    </row>
    <row r="141">
      <c r="C141" s="23"/>
    </row>
    <row r="142">
      <c r="C142" s="23"/>
    </row>
    <row r="143">
      <c r="C143" s="23"/>
    </row>
    <row r="144">
      <c r="C144" s="23"/>
    </row>
    <row r="145">
      <c r="C145" s="23"/>
    </row>
    <row r="146">
      <c r="C146" s="23"/>
    </row>
    <row r="147">
      <c r="C147" s="23"/>
    </row>
    <row r="148">
      <c r="C148" s="23"/>
    </row>
    <row r="149">
      <c r="C149" s="23"/>
    </row>
    <row r="150">
      <c r="C150" s="23"/>
    </row>
    <row r="151">
      <c r="C151" s="23"/>
    </row>
    <row r="152">
      <c r="C152" s="23"/>
    </row>
    <row r="153">
      <c r="C153" s="23"/>
    </row>
    <row r="154">
      <c r="C154" s="23"/>
    </row>
    <row r="155">
      <c r="C155" s="23"/>
    </row>
    <row r="156">
      <c r="C156" s="23"/>
    </row>
    <row r="157">
      <c r="C157" s="23"/>
    </row>
    <row r="158">
      <c r="C158" s="23"/>
    </row>
    <row r="159">
      <c r="C159" s="23"/>
    </row>
    <row r="160">
      <c r="C160" s="23"/>
    </row>
    <row r="161">
      <c r="C161" s="23"/>
    </row>
    <row r="162">
      <c r="C162" s="23"/>
    </row>
    <row r="163">
      <c r="C163" s="23"/>
    </row>
    <row r="164">
      <c r="C164" s="23"/>
    </row>
    <row r="165">
      <c r="C165" s="23"/>
    </row>
    <row r="166">
      <c r="C166" s="23"/>
    </row>
    <row r="167">
      <c r="C167" s="23"/>
    </row>
    <row r="168">
      <c r="C168" s="23"/>
    </row>
    <row r="169">
      <c r="C169" s="23"/>
    </row>
    <row r="170">
      <c r="C170" s="23"/>
    </row>
    <row r="171">
      <c r="C171" s="23"/>
    </row>
    <row r="172">
      <c r="C172" s="23"/>
    </row>
    <row r="173">
      <c r="C173" s="23"/>
    </row>
    <row r="174">
      <c r="C174" s="23"/>
    </row>
    <row r="175">
      <c r="C175" s="23"/>
    </row>
    <row r="176">
      <c r="C176" s="23"/>
    </row>
    <row r="177">
      <c r="C177" s="23"/>
    </row>
    <row r="178">
      <c r="C178" s="23"/>
    </row>
    <row r="179">
      <c r="C179" s="23"/>
    </row>
    <row r="180">
      <c r="C180" s="23"/>
    </row>
    <row r="181">
      <c r="C181" s="23"/>
    </row>
    <row r="182">
      <c r="C182" s="23"/>
    </row>
    <row r="183">
      <c r="C183" s="23"/>
    </row>
    <row r="184">
      <c r="C184" s="23"/>
    </row>
    <row r="185">
      <c r="C185" s="23"/>
    </row>
    <row r="186">
      <c r="C186" s="23"/>
    </row>
    <row r="187">
      <c r="C187" s="23"/>
    </row>
    <row r="188">
      <c r="C188" s="23"/>
    </row>
    <row r="189">
      <c r="C189" s="23"/>
    </row>
    <row r="190">
      <c r="C190" s="23"/>
    </row>
    <row r="191">
      <c r="C191" s="23"/>
    </row>
    <row r="192">
      <c r="C192" s="23"/>
    </row>
    <row r="193">
      <c r="C193" s="23"/>
    </row>
    <row r="194">
      <c r="C194" s="23"/>
    </row>
    <row r="195">
      <c r="C195" s="23"/>
    </row>
    <row r="196">
      <c r="C196" s="23"/>
    </row>
    <row r="197">
      <c r="C197" s="23"/>
    </row>
    <row r="198">
      <c r="C198" s="23"/>
    </row>
    <row r="199">
      <c r="C199" s="23"/>
    </row>
    <row r="200">
      <c r="C200" s="23"/>
    </row>
    <row r="201">
      <c r="C201" s="23"/>
    </row>
    <row r="202">
      <c r="C202" s="23"/>
    </row>
    <row r="203">
      <c r="C203" s="23"/>
    </row>
    <row r="204">
      <c r="C204" s="23"/>
    </row>
    <row r="205">
      <c r="C205" s="23"/>
    </row>
    <row r="206">
      <c r="C206" s="23"/>
    </row>
    <row r="207">
      <c r="C207" s="23"/>
    </row>
    <row r="208">
      <c r="C208" s="23"/>
    </row>
    <row r="209">
      <c r="C209" s="23"/>
    </row>
    <row r="210">
      <c r="C210" s="23"/>
    </row>
    <row r="211">
      <c r="C211" s="23"/>
    </row>
    <row r="212">
      <c r="C212" s="23"/>
    </row>
    <row r="213">
      <c r="C213" s="23"/>
    </row>
    <row r="214">
      <c r="C214" s="23"/>
    </row>
    <row r="215">
      <c r="C215" s="23"/>
    </row>
    <row r="216">
      <c r="C216" s="23"/>
    </row>
    <row r="217">
      <c r="C217" s="23"/>
    </row>
    <row r="218">
      <c r="C218" s="23"/>
    </row>
    <row r="219">
      <c r="C219" s="23"/>
    </row>
    <row r="220">
      <c r="C220" s="23"/>
    </row>
    <row r="221">
      <c r="C221" s="23"/>
    </row>
    <row r="222">
      <c r="C222" s="23"/>
    </row>
    <row r="223">
      <c r="C223" s="23"/>
    </row>
    <row r="224">
      <c r="C224" s="23"/>
    </row>
    <row r="225">
      <c r="C225" s="23"/>
    </row>
    <row r="226">
      <c r="C226" s="23"/>
    </row>
    <row r="227">
      <c r="C227" s="23"/>
    </row>
    <row r="228">
      <c r="C228" s="23"/>
    </row>
    <row r="229">
      <c r="C229" s="23"/>
    </row>
    <row r="230">
      <c r="C230" s="23"/>
    </row>
    <row r="231">
      <c r="C231" s="23"/>
    </row>
    <row r="232">
      <c r="C232" s="23"/>
    </row>
    <row r="233">
      <c r="C233" s="23"/>
    </row>
    <row r="234">
      <c r="C234" s="23"/>
    </row>
    <row r="235">
      <c r="C235" s="23"/>
    </row>
    <row r="236">
      <c r="C236" s="23"/>
    </row>
    <row r="237">
      <c r="C237" s="23"/>
    </row>
    <row r="238">
      <c r="C238" s="23"/>
    </row>
    <row r="239">
      <c r="C239" s="23"/>
    </row>
    <row r="240">
      <c r="C240" s="23"/>
    </row>
    <row r="241">
      <c r="C241" s="23"/>
    </row>
    <row r="242">
      <c r="C242" s="23"/>
    </row>
    <row r="243">
      <c r="C243" s="23"/>
    </row>
    <row r="244">
      <c r="C244" s="23"/>
    </row>
    <row r="245">
      <c r="C245" s="23"/>
    </row>
    <row r="246">
      <c r="C246" s="23"/>
    </row>
    <row r="247">
      <c r="C247" s="23"/>
    </row>
    <row r="248">
      <c r="C248" s="23"/>
    </row>
    <row r="249">
      <c r="C249" s="23"/>
    </row>
    <row r="250">
      <c r="C250" s="23"/>
    </row>
    <row r="251">
      <c r="C251" s="23"/>
    </row>
    <row r="252">
      <c r="C252" s="23"/>
    </row>
    <row r="253">
      <c r="C253" s="23"/>
    </row>
    <row r="254">
      <c r="C254" s="23"/>
    </row>
    <row r="255">
      <c r="C255" s="23"/>
    </row>
    <row r="256">
      <c r="C256" s="23"/>
    </row>
    <row r="257">
      <c r="C257" s="23"/>
    </row>
    <row r="258">
      <c r="C258" s="23"/>
    </row>
    <row r="259">
      <c r="C259" s="23"/>
    </row>
    <row r="260">
      <c r="C260" s="23"/>
    </row>
    <row r="261">
      <c r="C261" s="23"/>
    </row>
    <row r="262">
      <c r="C262" s="23"/>
    </row>
    <row r="263">
      <c r="C263" s="23"/>
    </row>
    <row r="264">
      <c r="C264" s="23"/>
    </row>
    <row r="265">
      <c r="C265" s="23"/>
    </row>
    <row r="266">
      <c r="C266" s="23"/>
    </row>
    <row r="267">
      <c r="C267" s="23"/>
    </row>
    <row r="268">
      <c r="C268" s="23"/>
    </row>
    <row r="269">
      <c r="C269" s="23"/>
    </row>
    <row r="270">
      <c r="C270" s="23"/>
    </row>
    <row r="271">
      <c r="C271" s="23"/>
    </row>
    <row r="272">
      <c r="C272" s="23"/>
    </row>
    <row r="273">
      <c r="C273" s="23"/>
    </row>
    <row r="274">
      <c r="C274" s="23"/>
    </row>
    <row r="275">
      <c r="C275" s="23"/>
    </row>
    <row r="276">
      <c r="C276" s="23"/>
    </row>
    <row r="277">
      <c r="C277" s="23"/>
    </row>
    <row r="278">
      <c r="C278" s="23"/>
    </row>
    <row r="279">
      <c r="C279" s="23"/>
    </row>
    <row r="280">
      <c r="C280" s="23"/>
    </row>
    <row r="281">
      <c r="C281" s="23"/>
    </row>
    <row r="282">
      <c r="C282" s="23"/>
    </row>
    <row r="283">
      <c r="C283" s="23"/>
    </row>
    <row r="284">
      <c r="C284" s="23"/>
    </row>
    <row r="285">
      <c r="C285" s="23"/>
    </row>
    <row r="286">
      <c r="C286" s="23"/>
    </row>
    <row r="287">
      <c r="C287" s="23"/>
    </row>
    <row r="288">
      <c r="C288" s="23"/>
    </row>
    <row r="289">
      <c r="C289" s="23"/>
    </row>
    <row r="290">
      <c r="C290" s="23"/>
    </row>
    <row r="291">
      <c r="C291" s="23"/>
    </row>
    <row r="292">
      <c r="C292" s="23"/>
    </row>
    <row r="293">
      <c r="C293" s="23"/>
    </row>
    <row r="294">
      <c r="C294" s="23"/>
    </row>
    <row r="295">
      <c r="C295" s="23"/>
    </row>
    <row r="296">
      <c r="C296" s="23"/>
    </row>
    <row r="297">
      <c r="C297" s="23"/>
    </row>
    <row r="298">
      <c r="C298" s="23"/>
    </row>
    <row r="299">
      <c r="C299" s="23"/>
    </row>
    <row r="300">
      <c r="C300" s="23"/>
    </row>
    <row r="301">
      <c r="C301" s="23"/>
    </row>
    <row r="302">
      <c r="C302" s="23"/>
    </row>
    <row r="303">
      <c r="C303" s="23"/>
    </row>
    <row r="304">
      <c r="C304" s="23"/>
    </row>
    <row r="305">
      <c r="C305" s="23"/>
    </row>
    <row r="306">
      <c r="C306" s="23"/>
    </row>
    <row r="307">
      <c r="C307" s="23"/>
    </row>
    <row r="308">
      <c r="C308" s="23"/>
    </row>
    <row r="309">
      <c r="C309" s="23"/>
    </row>
    <row r="310">
      <c r="C310" s="23"/>
    </row>
    <row r="311">
      <c r="C311" s="23"/>
    </row>
    <row r="312">
      <c r="C312" s="23"/>
    </row>
    <row r="313">
      <c r="C313" s="23"/>
    </row>
    <row r="314">
      <c r="C314" s="23"/>
    </row>
    <row r="315">
      <c r="C315" s="23"/>
    </row>
    <row r="316">
      <c r="C316" s="23"/>
    </row>
    <row r="317">
      <c r="C317" s="23"/>
    </row>
    <row r="318">
      <c r="C318" s="23"/>
    </row>
    <row r="319">
      <c r="C319" s="23"/>
    </row>
    <row r="320">
      <c r="C320" s="23"/>
    </row>
    <row r="321">
      <c r="C321" s="23"/>
    </row>
    <row r="322">
      <c r="C322" s="23"/>
    </row>
    <row r="323">
      <c r="C323" s="23"/>
    </row>
    <row r="324">
      <c r="C324" s="23"/>
    </row>
    <row r="325">
      <c r="C325" s="23"/>
    </row>
    <row r="326">
      <c r="C326" s="23"/>
    </row>
    <row r="327">
      <c r="C327" s="23"/>
    </row>
    <row r="328">
      <c r="C328" s="23"/>
    </row>
    <row r="329">
      <c r="C329" s="23"/>
    </row>
    <row r="330">
      <c r="C330" s="23"/>
    </row>
    <row r="331">
      <c r="C331" s="23"/>
    </row>
    <row r="332">
      <c r="C332" s="23"/>
    </row>
    <row r="333">
      <c r="C333" s="23"/>
    </row>
    <row r="334">
      <c r="C334" s="23"/>
    </row>
    <row r="335">
      <c r="C335" s="23"/>
    </row>
    <row r="336">
      <c r="C336" s="23"/>
    </row>
    <row r="337">
      <c r="C337" s="23"/>
    </row>
    <row r="338">
      <c r="C338" s="23"/>
    </row>
    <row r="339">
      <c r="C339" s="23"/>
    </row>
    <row r="340">
      <c r="C340" s="23"/>
    </row>
    <row r="341">
      <c r="C341" s="23"/>
    </row>
    <row r="342">
      <c r="C342" s="23"/>
    </row>
    <row r="343">
      <c r="C343" s="23"/>
    </row>
    <row r="344">
      <c r="C344" s="23"/>
    </row>
    <row r="345">
      <c r="C345" s="23"/>
    </row>
    <row r="346">
      <c r="C346" s="23"/>
    </row>
    <row r="347">
      <c r="C347" s="23"/>
    </row>
    <row r="348">
      <c r="C348" s="23"/>
    </row>
    <row r="349">
      <c r="C349" s="23"/>
    </row>
    <row r="350">
      <c r="C350" s="23"/>
    </row>
    <row r="351">
      <c r="C351" s="23"/>
    </row>
    <row r="352">
      <c r="C352" s="23"/>
    </row>
    <row r="353">
      <c r="C353" s="23"/>
    </row>
    <row r="354">
      <c r="C354" s="23"/>
    </row>
    <row r="355">
      <c r="C355" s="23"/>
    </row>
    <row r="356">
      <c r="C356" s="23"/>
    </row>
    <row r="357">
      <c r="C357" s="23"/>
    </row>
    <row r="358">
      <c r="C358" s="23"/>
    </row>
    <row r="359">
      <c r="C359" s="23"/>
    </row>
    <row r="360">
      <c r="C360" s="23"/>
    </row>
    <row r="361">
      <c r="C361" s="23"/>
    </row>
    <row r="362">
      <c r="C362" s="23"/>
    </row>
    <row r="363">
      <c r="C363" s="23"/>
    </row>
    <row r="364">
      <c r="C364" s="23"/>
    </row>
    <row r="365">
      <c r="C365" s="23"/>
    </row>
    <row r="366">
      <c r="C366" s="23"/>
    </row>
    <row r="367">
      <c r="C367" s="23"/>
    </row>
    <row r="368">
      <c r="C368" s="23"/>
    </row>
    <row r="369">
      <c r="C369" s="23"/>
    </row>
    <row r="370">
      <c r="C370" s="23"/>
    </row>
    <row r="371">
      <c r="C371" s="23"/>
    </row>
    <row r="372">
      <c r="C372" s="23"/>
    </row>
    <row r="373">
      <c r="C373" s="23"/>
    </row>
    <row r="374">
      <c r="C374" s="23"/>
    </row>
    <row r="375">
      <c r="C375" s="23"/>
    </row>
    <row r="376">
      <c r="C376" s="23"/>
    </row>
    <row r="377">
      <c r="C377" s="23"/>
    </row>
    <row r="378">
      <c r="C378" s="23"/>
    </row>
    <row r="379">
      <c r="C379" s="23"/>
    </row>
    <row r="380">
      <c r="C380" s="23"/>
    </row>
    <row r="381">
      <c r="C381" s="23"/>
    </row>
    <row r="382">
      <c r="C382" s="23"/>
    </row>
    <row r="383">
      <c r="C383" s="23"/>
    </row>
    <row r="384">
      <c r="C384" s="23"/>
    </row>
    <row r="385">
      <c r="C385" s="23"/>
    </row>
    <row r="386">
      <c r="C386" s="23"/>
    </row>
    <row r="387">
      <c r="C387" s="23"/>
    </row>
    <row r="388">
      <c r="C388" s="23"/>
    </row>
    <row r="389">
      <c r="C389" s="23"/>
    </row>
    <row r="390">
      <c r="C390" s="23"/>
    </row>
    <row r="391">
      <c r="C391" s="23"/>
    </row>
    <row r="392">
      <c r="C392" s="23"/>
    </row>
    <row r="393">
      <c r="C393" s="23"/>
    </row>
    <row r="394">
      <c r="C394" s="23"/>
    </row>
    <row r="395">
      <c r="C395" s="23"/>
    </row>
    <row r="396">
      <c r="C396" s="23"/>
    </row>
    <row r="397">
      <c r="C397" s="23"/>
    </row>
    <row r="398">
      <c r="C398" s="23"/>
    </row>
    <row r="399">
      <c r="C399" s="23"/>
    </row>
    <row r="400">
      <c r="C400" s="23"/>
    </row>
    <row r="401">
      <c r="C401" s="23"/>
    </row>
    <row r="402">
      <c r="C402" s="23"/>
    </row>
    <row r="403">
      <c r="C403" s="23"/>
    </row>
    <row r="404">
      <c r="C404" s="23"/>
    </row>
    <row r="405">
      <c r="C405" s="23"/>
    </row>
    <row r="406">
      <c r="C406" s="23"/>
    </row>
    <row r="407">
      <c r="C407" s="23"/>
    </row>
    <row r="408">
      <c r="C408" s="23"/>
    </row>
    <row r="409">
      <c r="C409" s="23"/>
    </row>
    <row r="410">
      <c r="C410" s="23"/>
    </row>
    <row r="411">
      <c r="C411" s="23"/>
    </row>
    <row r="412">
      <c r="C412" s="23"/>
    </row>
    <row r="413">
      <c r="C413" s="23"/>
    </row>
    <row r="414">
      <c r="C414" s="23"/>
    </row>
    <row r="415">
      <c r="C415" s="23"/>
    </row>
    <row r="416">
      <c r="C416" s="23"/>
    </row>
    <row r="417">
      <c r="C417" s="23"/>
    </row>
    <row r="418">
      <c r="C418" s="23"/>
    </row>
    <row r="419">
      <c r="C419" s="23"/>
    </row>
    <row r="420">
      <c r="C420" s="23"/>
    </row>
    <row r="421">
      <c r="C421" s="23"/>
    </row>
    <row r="422">
      <c r="C422" s="23"/>
    </row>
    <row r="423">
      <c r="C423" s="23"/>
    </row>
    <row r="424">
      <c r="C424" s="23"/>
    </row>
    <row r="425">
      <c r="C425" s="23"/>
    </row>
    <row r="426">
      <c r="C426" s="23"/>
    </row>
    <row r="427">
      <c r="C427" s="23"/>
    </row>
    <row r="428">
      <c r="C428" s="23"/>
    </row>
    <row r="429">
      <c r="C429" s="23"/>
    </row>
    <row r="430">
      <c r="C430" s="23"/>
    </row>
    <row r="431">
      <c r="C431" s="23"/>
    </row>
    <row r="432">
      <c r="C432" s="23"/>
    </row>
    <row r="433">
      <c r="C433" s="23"/>
    </row>
    <row r="434">
      <c r="C434" s="23"/>
    </row>
    <row r="435">
      <c r="C435" s="23"/>
    </row>
    <row r="436">
      <c r="C436" s="23"/>
    </row>
    <row r="437">
      <c r="C437" s="23"/>
    </row>
    <row r="438">
      <c r="C438" s="23"/>
    </row>
    <row r="439">
      <c r="C439" s="23"/>
    </row>
    <row r="440">
      <c r="C440" s="23"/>
    </row>
    <row r="441">
      <c r="C441" s="23"/>
    </row>
    <row r="442">
      <c r="C442" s="23"/>
    </row>
    <row r="443">
      <c r="C443" s="23"/>
    </row>
    <row r="444">
      <c r="C444" s="23"/>
    </row>
    <row r="445">
      <c r="C445" s="23"/>
    </row>
    <row r="446">
      <c r="C446" s="23"/>
    </row>
    <row r="447">
      <c r="C447" s="23"/>
    </row>
    <row r="448">
      <c r="C448" s="23"/>
    </row>
    <row r="449">
      <c r="C449" s="23"/>
    </row>
    <row r="450">
      <c r="C450" s="23"/>
    </row>
    <row r="451">
      <c r="C451" s="23"/>
    </row>
    <row r="452">
      <c r="C452" s="23"/>
    </row>
    <row r="453">
      <c r="C453" s="23"/>
    </row>
    <row r="454">
      <c r="C454" s="23"/>
    </row>
    <row r="455">
      <c r="C455" s="23"/>
    </row>
    <row r="456">
      <c r="C456" s="23"/>
    </row>
    <row r="457">
      <c r="C457" s="23"/>
    </row>
    <row r="458">
      <c r="C458" s="23"/>
    </row>
    <row r="459">
      <c r="C459" s="23"/>
    </row>
    <row r="460">
      <c r="C460" s="23"/>
    </row>
    <row r="461">
      <c r="C461" s="23"/>
    </row>
    <row r="462">
      <c r="C462" s="23"/>
    </row>
    <row r="463">
      <c r="C463" s="23"/>
    </row>
    <row r="464">
      <c r="C464" s="23"/>
    </row>
    <row r="465">
      <c r="C465" s="23"/>
    </row>
    <row r="466">
      <c r="C466" s="23"/>
    </row>
    <row r="467">
      <c r="C467" s="23"/>
    </row>
    <row r="468">
      <c r="C468" s="23"/>
    </row>
    <row r="469">
      <c r="C469" s="23"/>
    </row>
    <row r="470">
      <c r="C470" s="23"/>
    </row>
    <row r="471">
      <c r="C471" s="23"/>
    </row>
    <row r="472">
      <c r="C472" s="23"/>
    </row>
    <row r="473">
      <c r="C473" s="23"/>
    </row>
    <row r="474">
      <c r="C474" s="23"/>
    </row>
    <row r="475">
      <c r="C475" s="23"/>
    </row>
    <row r="476">
      <c r="C476" s="23"/>
    </row>
    <row r="477">
      <c r="C477" s="23"/>
    </row>
    <row r="478">
      <c r="C478" s="23"/>
    </row>
    <row r="479">
      <c r="C479" s="23"/>
    </row>
    <row r="480">
      <c r="C480" s="23"/>
    </row>
    <row r="481">
      <c r="C481" s="23"/>
    </row>
    <row r="482">
      <c r="C482" s="23"/>
    </row>
    <row r="483">
      <c r="C483" s="23"/>
    </row>
    <row r="484">
      <c r="C484" s="23"/>
    </row>
    <row r="485">
      <c r="C485" s="23"/>
    </row>
    <row r="486">
      <c r="C486" s="23"/>
    </row>
    <row r="487">
      <c r="C487" s="23"/>
    </row>
    <row r="488">
      <c r="C488" s="23"/>
    </row>
    <row r="489">
      <c r="C489" s="23"/>
    </row>
    <row r="490">
      <c r="C490" s="23"/>
    </row>
    <row r="491">
      <c r="C491" s="23"/>
    </row>
    <row r="492">
      <c r="C492" s="23"/>
    </row>
    <row r="493">
      <c r="C493" s="23"/>
    </row>
    <row r="494">
      <c r="C494" s="23"/>
    </row>
    <row r="495">
      <c r="C495" s="23"/>
    </row>
    <row r="496">
      <c r="C496" s="23"/>
    </row>
    <row r="497">
      <c r="C497" s="23"/>
    </row>
    <row r="498">
      <c r="C498" s="23"/>
    </row>
    <row r="499">
      <c r="C499" s="23"/>
    </row>
    <row r="500">
      <c r="C500" s="23"/>
    </row>
    <row r="501">
      <c r="C501" s="23"/>
    </row>
    <row r="502">
      <c r="C502" s="23"/>
    </row>
    <row r="503">
      <c r="C503" s="23"/>
    </row>
    <row r="504">
      <c r="C504" s="23"/>
    </row>
    <row r="505">
      <c r="C505" s="23"/>
    </row>
    <row r="506">
      <c r="C506" s="23"/>
    </row>
    <row r="507">
      <c r="C507" s="23"/>
    </row>
    <row r="508">
      <c r="C508" s="23"/>
    </row>
    <row r="509">
      <c r="C509" s="23"/>
    </row>
    <row r="510">
      <c r="C510" s="23"/>
    </row>
    <row r="511">
      <c r="C511" s="23"/>
    </row>
    <row r="512">
      <c r="C512" s="23"/>
    </row>
    <row r="513">
      <c r="C513" s="23"/>
    </row>
    <row r="514">
      <c r="C514" s="23"/>
    </row>
    <row r="515">
      <c r="C515" s="23"/>
    </row>
    <row r="516">
      <c r="C516" s="23"/>
    </row>
    <row r="517">
      <c r="C517" s="23"/>
    </row>
    <row r="518">
      <c r="C518" s="23"/>
    </row>
    <row r="519">
      <c r="C519" s="23"/>
    </row>
    <row r="520">
      <c r="C520" s="23"/>
    </row>
    <row r="521">
      <c r="C521" s="23"/>
    </row>
    <row r="522">
      <c r="C522" s="23"/>
    </row>
    <row r="523">
      <c r="C523" s="23"/>
    </row>
    <row r="524">
      <c r="C524" s="23"/>
    </row>
    <row r="525">
      <c r="C525" s="23"/>
    </row>
    <row r="526">
      <c r="C526" s="23"/>
    </row>
    <row r="527">
      <c r="C527" s="23"/>
    </row>
    <row r="528">
      <c r="C528" s="23"/>
    </row>
    <row r="529">
      <c r="C529" s="23"/>
    </row>
    <row r="530">
      <c r="C530" s="23"/>
    </row>
    <row r="531">
      <c r="C531" s="23"/>
    </row>
    <row r="532">
      <c r="C532" s="23"/>
    </row>
    <row r="533">
      <c r="C533" s="23"/>
    </row>
    <row r="534">
      <c r="C534" s="23"/>
    </row>
    <row r="535">
      <c r="C535" s="23"/>
    </row>
    <row r="536">
      <c r="C536" s="23"/>
    </row>
    <row r="537">
      <c r="C537" s="23"/>
    </row>
    <row r="538">
      <c r="C538" s="23"/>
    </row>
    <row r="539">
      <c r="C539" s="23"/>
    </row>
    <row r="540">
      <c r="C540" s="23"/>
    </row>
    <row r="541">
      <c r="C541" s="23"/>
    </row>
    <row r="542">
      <c r="C542" s="23"/>
    </row>
    <row r="543">
      <c r="C543" s="23"/>
    </row>
    <row r="544">
      <c r="C544" s="23"/>
    </row>
    <row r="545">
      <c r="C545" s="23"/>
    </row>
    <row r="546">
      <c r="C546" s="23"/>
    </row>
    <row r="547">
      <c r="C547" s="23"/>
    </row>
    <row r="548">
      <c r="C548" s="23"/>
    </row>
    <row r="549">
      <c r="C549" s="23"/>
    </row>
    <row r="550">
      <c r="C550" s="23"/>
    </row>
    <row r="551">
      <c r="C551" s="23"/>
    </row>
    <row r="552">
      <c r="C552" s="23"/>
    </row>
    <row r="553">
      <c r="C553" s="23"/>
    </row>
    <row r="554">
      <c r="C554" s="23"/>
    </row>
    <row r="555">
      <c r="C555" s="23"/>
    </row>
    <row r="556">
      <c r="C556" s="23"/>
    </row>
    <row r="557">
      <c r="C557" s="23"/>
    </row>
    <row r="558">
      <c r="C558" s="23"/>
    </row>
    <row r="559">
      <c r="C559" s="23"/>
    </row>
    <row r="560">
      <c r="C560" s="23"/>
    </row>
    <row r="561">
      <c r="C561" s="23"/>
    </row>
    <row r="562">
      <c r="C562" s="23"/>
    </row>
    <row r="563">
      <c r="C563" s="23"/>
    </row>
    <row r="564">
      <c r="C564" s="23"/>
    </row>
    <row r="565">
      <c r="C565" s="23"/>
    </row>
    <row r="566">
      <c r="C566" s="23"/>
    </row>
    <row r="567">
      <c r="C567" s="23"/>
    </row>
    <row r="568">
      <c r="C568" s="23"/>
    </row>
    <row r="569">
      <c r="C569" s="23"/>
    </row>
    <row r="570">
      <c r="C570" s="23"/>
    </row>
    <row r="571">
      <c r="C571" s="23"/>
    </row>
    <row r="572">
      <c r="C572" s="23"/>
    </row>
    <row r="573">
      <c r="C573" s="23"/>
    </row>
    <row r="574">
      <c r="C574" s="23"/>
    </row>
    <row r="575">
      <c r="C575" s="23"/>
    </row>
    <row r="576">
      <c r="C576" s="23"/>
    </row>
    <row r="577">
      <c r="C577" s="23"/>
    </row>
    <row r="578">
      <c r="C578" s="23"/>
    </row>
    <row r="579">
      <c r="C579" s="23"/>
    </row>
    <row r="580">
      <c r="C580" s="23"/>
    </row>
    <row r="581">
      <c r="C581" s="23"/>
    </row>
    <row r="582">
      <c r="C582" s="23"/>
    </row>
    <row r="583">
      <c r="C583" s="23"/>
    </row>
    <row r="584">
      <c r="C584" s="23"/>
    </row>
    <row r="585">
      <c r="C585" s="23"/>
    </row>
    <row r="586">
      <c r="C586" s="23"/>
    </row>
    <row r="587">
      <c r="C587" s="23"/>
    </row>
    <row r="588">
      <c r="C588" s="23"/>
    </row>
    <row r="589">
      <c r="C589" s="23"/>
    </row>
    <row r="590">
      <c r="C590" s="23"/>
    </row>
    <row r="591">
      <c r="C591" s="23"/>
    </row>
    <row r="592">
      <c r="C592" s="23"/>
    </row>
    <row r="593">
      <c r="C593" s="23"/>
    </row>
    <row r="594">
      <c r="C594" s="23"/>
    </row>
    <row r="595">
      <c r="C595" s="23"/>
    </row>
    <row r="596">
      <c r="C596" s="23"/>
    </row>
    <row r="597">
      <c r="C597" s="23"/>
    </row>
    <row r="598">
      <c r="C598" s="23"/>
    </row>
    <row r="599">
      <c r="C599" s="23"/>
    </row>
    <row r="600">
      <c r="C600" s="23"/>
    </row>
    <row r="601">
      <c r="C601" s="23"/>
    </row>
    <row r="602">
      <c r="C602" s="23"/>
    </row>
    <row r="603">
      <c r="C603" s="23"/>
    </row>
    <row r="604">
      <c r="C604" s="23"/>
    </row>
    <row r="605">
      <c r="C605" s="23"/>
    </row>
    <row r="606">
      <c r="C606" s="23"/>
    </row>
    <row r="607">
      <c r="C607" s="23"/>
    </row>
    <row r="608">
      <c r="C608" s="23"/>
    </row>
    <row r="609">
      <c r="C609" s="23"/>
    </row>
    <row r="610">
      <c r="C610" s="23"/>
    </row>
    <row r="611">
      <c r="C611" s="23"/>
    </row>
    <row r="612">
      <c r="C612" s="23"/>
    </row>
    <row r="613">
      <c r="C613" s="23"/>
    </row>
    <row r="614">
      <c r="C614" s="23"/>
    </row>
    <row r="615">
      <c r="C615" s="23"/>
    </row>
    <row r="616">
      <c r="C616" s="23"/>
    </row>
    <row r="617">
      <c r="C617" s="23"/>
    </row>
    <row r="618">
      <c r="C618" s="23"/>
    </row>
    <row r="619">
      <c r="C619" s="23"/>
    </row>
    <row r="620">
      <c r="C620" s="23"/>
    </row>
    <row r="621">
      <c r="C621" s="23"/>
    </row>
    <row r="622">
      <c r="C622" s="23"/>
    </row>
    <row r="623">
      <c r="C623" s="23"/>
    </row>
    <row r="624">
      <c r="C624" s="23"/>
    </row>
    <row r="625">
      <c r="C625" s="23"/>
    </row>
    <row r="626">
      <c r="C626" s="23"/>
    </row>
    <row r="627">
      <c r="C627" s="23"/>
    </row>
    <row r="628">
      <c r="C628" s="23"/>
    </row>
    <row r="629">
      <c r="C629" s="23"/>
    </row>
    <row r="630">
      <c r="C630" s="23"/>
    </row>
    <row r="631">
      <c r="C631" s="23"/>
    </row>
    <row r="632">
      <c r="C632" s="23"/>
    </row>
    <row r="633">
      <c r="C633" s="23"/>
    </row>
    <row r="634">
      <c r="C634" s="23"/>
    </row>
    <row r="635">
      <c r="C635" s="23"/>
    </row>
    <row r="636">
      <c r="C636" s="23"/>
    </row>
    <row r="637">
      <c r="C637" s="23"/>
    </row>
    <row r="638">
      <c r="C638" s="23"/>
    </row>
    <row r="639">
      <c r="C639" s="23"/>
    </row>
    <row r="640">
      <c r="C640" s="23"/>
    </row>
    <row r="641">
      <c r="C641" s="23"/>
    </row>
    <row r="642">
      <c r="C642" s="23"/>
    </row>
    <row r="643">
      <c r="C643" s="23"/>
    </row>
    <row r="644">
      <c r="C644" s="23"/>
    </row>
    <row r="645">
      <c r="C645" s="23"/>
    </row>
    <row r="646">
      <c r="C646" s="23"/>
    </row>
    <row r="647">
      <c r="C647" s="23"/>
    </row>
    <row r="648">
      <c r="C648" s="23"/>
    </row>
    <row r="649">
      <c r="C649" s="23"/>
    </row>
    <row r="650">
      <c r="C650" s="23"/>
    </row>
    <row r="651">
      <c r="C651" s="23"/>
    </row>
    <row r="652">
      <c r="C652" s="23"/>
    </row>
    <row r="653">
      <c r="C653" s="23"/>
    </row>
    <row r="654">
      <c r="C654" s="23"/>
    </row>
    <row r="655">
      <c r="C655" s="23"/>
    </row>
    <row r="656">
      <c r="C656" s="23"/>
    </row>
    <row r="657">
      <c r="C657" s="23"/>
    </row>
    <row r="658">
      <c r="C658" s="23"/>
    </row>
    <row r="659">
      <c r="C659" s="23"/>
    </row>
    <row r="660">
      <c r="C660" s="23"/>
    </row>
    <row r="661">
      <c r="C661" s="23"/>
    </row>
    <row r="662">
      <c r="C662" s="23"/>
    </row>
    <row r="663">
      <c r="C663" s="23"/>
    </row>
    <row r="664">
      <c r="C664" s="23"/>
    </row>
    <row r="665">
      <c r="C665" s="23"/>
    </row>
    <row r="666">
      <c r="C666" s="23"/>
    </row>
    <row r="667">
      <c r="C667" s="23"/>
    </row>
    <row r="668">
      <c r="C668" s="23"/>
    </row>
    <row r="669">
      <c r="C669" s="23"/>
    </row>
    <row r="670">
      <c r="C670" s="23"/>
    </row>
    <row r="671">
      <c r="C671" s="23"/>
    </row>
    <row r="672">
      <c r="C672" s="23"/>
    </row>
    <row r="673">
      <c r="C673" s="23"/>
    </row>
    <row r="674">
      <c r="C674" s="23"/>
    </row>
    <row r="675">
      <c r="C675" s="23"/>
    </row>
    <row r="676">
      <c r="C676" s="23"/>
    </row>
    <row r="677">
      <c r="C677" s="23"/>
    </row>
    <row r="678">
      <c r="C678" s="23"/>
    </row>
    <row r="679">
      <c r="C679" s="23"/>
    </row>
    <row r="680">
      <c r="C680" s="23"/>
    </row>
    <row r="681">
      <c r="C681" s="23"/>
    </row>
    <row r="682">
      <c r="C682" s="23"/>
    </row>
    <row r="683">
      <c r="C683" s="23"/>
    </row>
    <row r="684">
      <c r="C684" s="23"/>
    </row>
    <row r="685">
      <c r="C685" s="23"/>
    </row>
    <row r="686">
      <c r="C686" s="23"/>
    </row>
    <row r="687">
      <c r="C687" s="23"/>
    </row>
    <row r="688">
      <c r="C688" s="23"/>
    </row>
    <row r="689">
      <c r="C689" s="23"/>
    </row>
    <row r="690">
      <c r="C690" s="23"/>
    </row>
    <row r="691">
      <c r="C691" s="23"/>
    </row>
    <row r="692">
      <c r="C692" s="23"/>
    </row>
    <row r="693">
      <c r="C693" s="23"/>
    </row>
    <row r="694">
      <c r="C694" s="23"/>
    </row>
    <row r="695">
      <c r="C695" s="23"/>
    </row>
    <row r="696">
      <c r="C696" s="23"/>
    </row>
    <row r="697">
      <c r="C697" s="23"/>
    </row>
    <row r="698">
      <c r="C698" s="23"/>
    </row>
    <row r="699">
      <c r="C699" s="23"/>
    </row>
    <row r="700">
      <c r="C700" s="23"/>
    </row>
    <row r="701">
      <c r="C701" s="23"/>
    </row>
    <row r="702">
      <c r="C702" s="23"/>
    </row>
    <row r="703">
      <c r="C703" s="23"/>
    </row>
    <row r="704">
      <c r="C704" s="23"/>
    </row>
    <row r="705">
      <c r="C705" s="23"/>
    </row>
    <row r="706">
      <c r="C706" s="23"/>
    </row>
    <row r="707">
      <c r="C707" s="23"/>
    </row>
    <row r="708">
      <c r="C708" s="23"/>
    </row>
    <row r="709">
      <c r="C709" s="23"/>
    </row>
    <row r="710">
      <c r="C710" s="23"/>
    </row>
    <row r="711">
      <c r="C711" s="23"/>
    </row>
    <row r="712">
      <c r="C712" s="23"/>
    </row>
    <row r="713">
      <c r="C713" s="23"/>
    </row>
    <row r="714">
      <c r="C714" s="23"/>
    </row>
    <row r="715">
      <c r="C715" s="23"/>
    </row>
    <row r="716">
      <c r="C716" s="23"/>
    </row>
    <row r="717">
      <c r="C717" s="23"/>
    </row>
    <row r="718">
      <c r="C718" s="23"/>
    </row>
    <row r="719">
      <c r="C719" s="23"/>
    </row>
    <row r="720">
      <c r="C720" s="23"/>
    </row>
    <row r="721">
      <c r="C721" s="23"/>
    </row>
    <row r="722">
      <c r="C722" s="23"/>
    </row>
    <row r="723">
      <c r="C723" s="23"/>
    </row>
    <row r="724">
      <c r="C724" s="23"/>
    </row>
    <row r="725">
      <c r="C725" s="23"/>
    </row>
    <row r="726">
      <c r="C726" s="23"/>
    </row>
    <row r="727">
      <c r="C727" s="23"/>
    </row>
    <row r="728">
      <c r="C728" s="23"/>
    </row>
    <row r="729">
      <c r="C729" s="23"/>
    </row>
    <row r="730">
      <c r="C730" s="23"/>
    </row>
    <row r="731">
      <c r="C731" s="23"/>
    </row>
    <row r="732">
      <c r="C732" s="23"/>
    </row>
    <row r="733">
      <c r="C733" s="23"/>
    </row>
    <row r="734">
      <c r="C734" s="23"/>
    </row>
    <row r="735">
      <c r="C735" s="23"/>
    </row>
    <row r="736">
      <c r="C736" s="23"/>
    </row>
    <row r="737">
      <c r="C737" s="23"/>
    </row>
    <row r="738">
      <c r="C738" s="23"/>
    </row>
    <row r="739">
      <c r="C739" s="23"/>
    </row>
    <row r="740">
      <c r="C740" s="23"/>
    </row>
    <row r="741">
      <c r="C741" s="23"/>
    </row>
    <row r="742">
      <c r="C742" s="23"/>
    </row>
    <row r="743">
      <c r="C743" s="23"/>
    </row>
    <row r="744">
      <c r="C744" s="23"/>
    </row>
    <row r="745">
      <c r="C745" s="23"/>
    </row>
    <row r="746">
      <c r="C746" s="23"/>
    </row>
    <row r="747">
      <c r="C747" s="23"/>
    </row>
    <row r="748">
      <c r="C748" s="23"/>
    </row>
    <row r="749">
      <c r="C749" s="23"/>
    </row>
    <row r="750">
      <c r="C750" s="23"/>
    </row>
    <row r="751">
      <c r="C751" s="23"/>
    </row>
    <row r="752">
      <c r="C752" s="23"/>
    </row>
    <row r="753">
      <c r="C753" s="23"/>
    </row>
    <row r="754">
      <c r="C754" s="23"/>
    </row>
    <row r="755">
      <c r="C755" s="23"/>
    </row>
    <row r="756">
      <c r="C756" s="23"/>
    </row>
    <row r="757">
      <c r="C757" s="23"/>
    </row>
    <row r="758">
      <c r="C758" s="23"/>
    </row>
    <row r="759">
      <c r="C759" s="23"/>
    </row>
    <row r="760">
      <c r="C760" s="23"/>
    </row>
    <row r="761">
      <c r="C761" s="23"/>
    </row>
    <row r="762">
      <c r="C762" s="23"/>
    </row>
    <row r="763">
      <c r="C763" s="23"/>
    </row>
    <row r="764">
      <c r="C764" s="23"/>
    </row>
    <row r="765">
      <c r="C765" s="23"/>
    </row>
    <row r="766">
      <c r="C766" s="23"/>
    </row>
    <row r="767">
      <c r="C767" s="23"/>
    </row>
    <row r="768">
      <c r="C768" s="23"/>
    </row>
    <row r="769">
      <c r="C769" s="23"/>
    </row>
    <row r="770">
      <c r="C770" s="23"/>
    </row>
    <row r="771">
      <c r="C771" s="23"/>
    </row>
    <row r="772">
      <c r="C772" s="23"/>
    </row>
    <row r="773">
      <c r="C773" s="23"/>
    </row>
    <row r="774">
      <c r="C774" s="23"/>
    </row>
    <row r="775">
      <c r="C775" s="23"/>
    </row>
    <row r="776">
      <c r="C776" s="23"/>
    </row>
    <row r="777">
      <c r="C777" s="23"/>
    </row>
    <row r="778">
      <c r="C778" s="23"/>
    </row>
    <row r="779">
      <c r="C779" s="23"/>
    </row>
    <row r="780">
      <c r="C780" s="23"/>
    </row>
    <row r="781">
      <c r="C781" s="23"/>
    </row>
    <row r="782">
      <c r="C782" s="23"/>
    </row>
    <row r="783">
      <c r="C783" s="23"/>
    </row>
    <row r="784">
      <c r="C784" s="23"/>
    </row>
    <row r="785">
      <c r="C785" s="23"/>
    </row>
    <row r="786">
      <c r="C786" s="23"/>
    </row>
    <row r="787">
      <c r="C787" s="23"/>
    </row>
    <row r="788">
      <c r="C788" s="23"/>
    </row>
    <row r="789">
      <c r="C789" s="23"/>
    </row>
    <row r="790">
      <c r="C790" s="23"/>
    </row>
    <row r="791">
      <c r="C791" s="23"/>
    </row>
    <row r="792">
      <c r="C792" s="23"/>
    </row>
    <row r="793">
      <c r="C793" s="23"/>
    </row>
    <row r="794">
      <c r="C794" s="23"/>
    </row>
    <row r="795">
      <c r="C795" s="23"/>
    </row>
    <row r="796">
      <c r="C796" s="23"/>
    </row>
    <row r="797">
      <c r="C797" s="23"/>
    </row>
    <row r="798">
      <c r="C798" s="23"/>
    </row>
    <row r="799">
      <c r="C799" s="23"/>
    </row>
    <row r="800">
      <c r="C800" s="23"/>
    </row>
    <row r="801">
      <c r="C801" s="23"/>
    </row>
    <row r="802">
      <c r="C802" s="23"/>
    </row>
    <row r="803">
      <c r="C803" s="23"/>
    </row>
    <row r="804">
      <c r="C804" s="23"/>
    </row>
    <row r="805">
      <c r="C805" s="23"/>
    </row>
    <row r="806">
      <c r="C806" s="23"/>
    </row>
    <row r="807">
      <c r="C807" s="23"/>
    </row>
    <row r="808">
      <c r="C808" s="23"/>
    </row>
    <row r="809">
      <c r="C809" s="23"/>
    </row>
    <row r="810">
      <c r="C810" s="23"/>
    </row>
    <row r="811">
      <c r="C811" s="23"/>
    </row>
    <row r="812">
      <c r="C812" s="23"/>
    </row>
    <row r="813">
      <c r="C813" s="23"/>
    </row>
    <row r="814">
      <c r="C814" s="23"/>
    </row>
    <row r="815">
      <c r="C815" s="23"/>
    </row>
    <row r="816">
      <c r="C816" s="23"/>
    </row>
    <row r="817">
      <c r="C817" s="23"/>
    </row>
    <row r="818">
      <c r="C818" s="23"/>
    </row>
    <row r="819">
      <c r="C819" s="23"/>
    </row>
    <row r="820">
      <c r="C820" s="23"/>
    </row>
    <row r="821">
      <c r="C821" s="23"/>
    </row>
    <row r="822">
      <c r="C822" s="23"/>
    </row>
    <row r="823">
      <c r="C823" s="23"/>
    </row>
    <row r="824">
      <c r="C824" s="23"/>
    </row>
    <row r="825">
      <c r="C825" s="23"/>
    </row>
    <row r="826">
      <c r="C826" s="23"/>
    </row>
    <row r="827">
      <c r="C827" s="23"/>
    </row>
    <row r="828">
      <c r="C828" s="23"/>
    </row>
    <row r="829">
      <c r="C829" s="23"/>
    </row>
    <row r="830">
      <c r="C830" s="23"/>
    </row>
    <row r="831">
      <c r="C831" s="23"/>
    </row>
    <row r="832">
      <c r="C832" s="23"/>
    </row>
    <row r="833">
      <c r="C833" s="23"/>
    </row>
    <row r="834">
      <c r="C834" s="23"/>
    </row>
    <row r="835">
      <c r="C835" s="23"/>
    </row>
    <row r="836">
      <c r="C836" s="23"/>
    </row>
    <row r="837">
      <c r="C837" s="23"/>
    </row>
    <row r="838">
      <c r="C838" s="23"/>
    </row>
    <row r="839">
      <c r="C839" s="23"/>
    </row>
    <row r="840">
      <c r="C840" s="23"/>
    </row>
    <row r="841">
      <c r="C841" s="23"/>
    </row>
    <row r="842">
      <c r="C842" s="23"/>
    </row>
    <row r="843">
      <c r="C843" s="23"/>
    </row>
    <row r="844">
      <c r="C844" s="23"/>
    </row>
    <row r="845">
      <c r="C845" s="23"/>
    </row>
    <row r="846">
      <c r="C846" s="23"/>
    </row>
    <row r="847">
      <c r="C847" s="23"/>
    </row>
    <row r="848">
      <c r="C848" s="23"/>
    </row>
    <row r="849">
      <c r="C849" s="23"/>
    </row>
    <row r="850">
      <c r="C850" s="23"/>
    </row>
    <row r="851">
      <c r="C851" s="23"/>
    </row>
    <row r="852">
      <c r="C852" s="23"/>
    </row>
    <row r="853">
      <c r="C853" s="23"/>
    </row>
    <row r="854">
      <c r="C854" s="23"/>
    </row>
    <row r="855">
      <c r="C855" s="23"/>
    </row>
    <row r="856">
      <c r="C856" s="23"/>
    </row>
    <row r="857">
      <c r="C857" s="23"/>
    </row>
    <row r="858">
      <c r="C858" s="23"/>
    </row>
    <row r="859">
      <c r="C859" s="23"/>
    </row>
    <row r="860">
      <c r="C860" s="23"/>
    </row>
    <row r="861">
      <c r="C861" s="23"/>
    </row>
    <row r="862">
      <c r="C862" s="23"/>
    </row>
    <row r="863">
      <c r="C863" s="23"/>
    </row>
    <row r="864">
      <c r="C864" s="23"/>
    </row>
    <row r="865">
      <c r="C865" s="23"/>
    </row>
    <row r="866">
      <c r="C866" s="23"/>
    </row>
    <row r="867">
      <c r="C867" s="23"/>
    </row>
    <row r="868">
      <c r="C868" s="23"/>
    </row>
    <row r="869">
      <c r="C869" s="23"/>
    </row>
    <row r="870">
      <c r="C870" s="23"/>
    </row>
    <row r="871">
      <c r="C871" s="23"/>
    </row>
    <row r="872">
      <c r="C872" s="23"/>
    </row>
    <row r="873">
      <c r="C873" s="23"/>
    </row>
    <row r="874">
      <c r="C874" s="23"/>
    </row>
    <row r="875">
      <c r="C875" s="23"/>
    </row>
    <row r="876">
      <c r="C876" s="23"/>
    </row>
    <row r="877">
      <c r="C877" s="23"/>
    </row>
    <row r="878">
      <c r="C878" s="23"/>
    </row>
    <row r="879">
      <c r="C879" s="23"/>
    </row>
    <row r="880">
      <c r="C880" s="23"/>
    </row>
    <row r="881">
      <c r="C881" s="23"/>
    </row>
    <row r="882">
      <c r="C882" s="23"/>
    </row>
    <row r="883">
      <c r="C883" s="23"/>
    </row>
    <row r="884">
      <c r="C884" s="23"/>
    </row>
    <row r="885">
      <c r="C885" s="23"/>
    </row>
    <row r="886">
      <c r="C886" s="23"/>
    </row>
    <row r="887">
      <c r="C887" s="23"/>
    </row>
    <row r="888">
      <c r="C888" s="23"/>
    </row>
    <row r="889">
      <c r="C889" s="23"/>
    </row>
    <row r="890">
      <c r="C890" s="23"/>
    </row>
    <row r="891">
      <c r="C891" s="23"/>
    </row>
    <row r="892">
      <c r="C892" s="23"/>
    </row>
    <row r="893">
      <c r="C893" s="23"/>
    </row>
    <row r="894">
      <c r="C894" s="23"/>
    </row>
    <row r="895">
      <c r="C895" s="23"/>
    </row>
    <row r="896">
      <c r="C896" s="23"/>
    </row>
    <row r="897">
      <c r="C897" s="23"/>
    </row>
    <row r="898">
      <c r="C898" s="23"/>
    </row>
    <row r="899">
      <c r="C899" s="23"/>
    </row>
    <row r="900">
      <c r="C900" s="23"/>
    </row>
    <row r="901">
      <c r="C901" s="23"/>
    </row>
    <row r="902">
      <c r="C902" s="23"/>
    </row>
    <row r="903">
      <c r="C903" s="23"/>
    </row>
    <row r="904">
      <c r="C904" s="23"/>
    </row>
    <row r="905">
      <c r="C905" s="23"/>
    </row>
    <row r="906">
      <c r="C906" s="23"/>
    </row>
    <row r="907">
      <c r="C907" s="23"/>
    </row>
    <row r="908">
      <c r="C908" s="23"/>
    </row>
    <row r="909">
      <c r="C909" s="23"/>
    </row>
    <row r="910">
      <c r="C910" s="23"/>
    </row>
    <row r="911">
      <c r="C911" s="23"/>
    </row>
    <row r="912">
      <c r="C912" s="23"/>
    </row>
    <row r="913">
      <c r="C913" s="23"/>
    </row>
    <row r="914">
      <c r="C914" s="23"/>
    </row>
    <row r="915">
      <c r="C915" s="23"/>
    </row>
    <row r="916">
      <c r="C916" s="23"/>
    </row>
    <row r="917">
      <c r="C917" s="23"/>
    </row>
    <row r="918">
      <c r="C918" s="23"/>
    </row>
    <row r="919">
      <c r="C919" s="23"/>
    </row>
    <row r="920">
      <c r="C920" s="23"/>
    </row>
    <row r="921">
      <c r="C921" s="23"/>
    </row>
    <row r="922">
      <c r="C922" s="23"/>
    </row>
    <row r="923">
      <c r="C923" s="23"/>
    </row>
    <row r="924">
      <c r="C924" s="23"/>
    </row>
    <row r="925">
      <c r="C925" s="23"/>
    </row>
    <row r="926">
      <c r="C926" s="23"/>
    </row>
    <row r="927">
      <c r="C927" s="23"/>
    </row>
    <row r="928">
      <c r="C928" s="23"/>
    </row>
    <row r="929">
      <c r="C929" s="23"/>
    </row>
    <row r="930">
      <c r="C930" s="23"/>
    </row>
    <row r="931">
      <c r="C931" s="23"/>
    </row>
    <row r="932">
      <c r="C932" s="23"/>
    </row>
    <row r="933">
      <c r="C933" s="23"/>
    </row>
    <row r="934">
      <c r="C934" s="23"/>
    </row>
    <row r="935">
      <c r="C935" s="23"/>
    </row>
    <row r="936">
      <c r="C936" s="23"/>
    </row>
    <row r="937">
      <c r="C937" s="23"/>
    </row>
    <row r="938">
      <c r="C938" s="23"/>
    </row>
    <row r="939">
      <c r="C939" s="23"/>
    </row>
    <row r="940">
      <c r="C940" s="23"/>
    </row>
    <row r="941">
      <c r="C941" s="23"/>
    </row>
    <row r="942">
      <c r="C942" s="23"/>
    </row>
    <row r="943">
      <c r="C943" s="23"/>
    </row>
    <row r="944">
      <c r="C944" s="23"/>
    </row>
    <row r="945">
      <c r="C945" s="23"/>
    </row>
    <row r="946">
      <c r="C946" s="23"/>
    </row>
    <row r="947">
      <c r="C947" s="23"/>
    </row>
    <row r="948">
      <c r="C948" s="23"/>
    </row>
    <row r="949">
      <c r="C949" s="23"/>
    </row>
    <row r="950">
      <c r="C950" s="23"/>
    </row>
    <row r="951">
      <c r="C951" s="23"/>
    </row>
    <row r="952">
      <c r="C952" s="23"/>
    </row>
    <row r="953">
      <c r="C953" s="23"/>
    </row>
    <row r="954">
      <c r="C954" s="23"/>
    </row>
    <row r="955">
      <c r="C955" s="23"/>
    </row>
    <row r="956">
      <c r="C956" s="23"/>
    </row>
    <row r="957">
      <c r="C957" s="23"/>
    </row>
    <row r="958">
      <c r="C958" s="23"/>
    </row>
    <row r="959">
      <c r="C959" s="23"/>
    </row>
    <row r="960">
      <c r="C960" s="23"/>
    </row>
    <row r="961">
      <c r="C961" s="23"/>
    </row>
    <row r="962">
      <c r="C962" s="23"/>
    </row>
    <row r="963">
      <c r="C963" s="23"/>
    </row>
    <row r="964">
      <c r="C964" s="23"/>
    </row>
    <row r="965">
      <c r="C965" s="23"/>
    </row>
    <row r="966">
      <c r="C966" s="23"/>
    </row>
    <row r="967">
      <c r="C967" s="23"/>
    </row>
    <row r="968">
      <c r="C968" s="23"/>
    </row>
    <row r="969">
      <c r="C969" s="23"/>
    </row>
    <row r="970">
      <c r="C970" s="23"/>
    </row>
    <row r="971">
      <c r="C971" s="23"/>
    </row>
    <row r="972">
      <c r="C972" s="23"/>
    </row>
    <row r="973">
      <c r="C973" s="23"/>
    </row>
    <row r="974">
      <c r="C974" s="23"/>
    </row>
    <row r="975">
      <c r="C975" s="23"/>
    </row>
    <row r="976">
      <c r="C976" s="23"/>
    </row>
    <row r="977">
      <c r="C977" s="23"/>
    </row>
    <row r="978">
      <c r="C978" s="23"/>
    </row>
    <row r="979">
      <c r="C979" s="23"/>
    </row>
    <row r="980">
      <c r="C980" s="23"/>
    </row>
    <row r="981">
      <c r="C981" s="23"/>
    </row>
    <row r="982">
      <c r="C982" s="23"/>
    </row>
    <row r="983">
      <c r="C983" s="23"/>
    </row>
    <row r="984">
      <c r="C984" s="23"/>
    </row>
    <row r="985">
      <c r="C985" s="23"/>
    </row>
    <row r="986">
      <c r="C986" s="23"/>
    </row>
    <row r="987">
      <c r="C987" s="23"/>
    </row>
    <row r="988">
      <c r="C988" s="23"/>
    </row>
    <row r="989">
      <c r="C989" s="23"/>
    </row>
    <row r="990">
      <c r="C990" s="23"/>
    </row>
    <row r="991">
      <c r="C991" s="23"/>
    </row>
    <row r="992">
      <c r="C992" s="23"/>
    </row>
    <row r="993">
      <c r="C993" s="23"/>
    </row>
    <row r="994">
      <c r="C994" s="23"/>
    </row>
    <row r="995">
      <c r="C995" s="23"/>
    </row>
    <row r="996">
      <c r="C996" s="23"/>
    </row>
    <row r="997">
      <c r="C997" s="23"/>
    </row>
    <row r="998">
      <c r="C998" s="23"/>
    </row>
    <row r="999">
      <c r="C999" s="23"/>
    </row>
    <row r="1000">
      <c r="C1000" s="2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</cols>
  <sheetData>
    <row r="1">
      <c r="A1" s="1"/>
      <c r="B1" s="1" t="s">
        <v>201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>
      <c r="A2" s="1" t="s">
        <v>202</v>
      </c>
      <c r="B2" s="26">
        <v>4795350.0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>
      <c r="A3" s="1" t="s">
        <v>203</v>
      </c>
      <c r="B3" s="26">
        <v>3073720.0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>
      <c r="A4" s="1" t="s">
        <v>204</v>
      </c>
      <c r="B4" s="26">
        <v>3396200.0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>
      <c r="A5" s="1" t="s">
        <v>205</v>
      </c>
      <c r="B5" s="26">
        <v>7916127.0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>
      <c r="A6" s="24"/>
      <c r="B6" s="27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>
      <c r="A7" s="1" t="s">
        <v>1</v>
      </c>
      <c r="B7" s="1" t="s">
        <v>5</v>
      </c>
      <c r="C7" s="1" t="s">
        <v>6</v>
      </c>
      <c r="D7" s="3" t="s">
        <v>15</v>
      </c>
      <c r="E7" s="1" t="s">
        <v>16</v>
      </c>
      <c r="F7" s="3" t="s">
        <v>25</v>
      </c>
      <c r="G7" s="1" t="s">
        <v>26</v>
      </c>
      <c r="H7" s="3" t="s">
        <v>35</v>
      </c>
      <c r="I7" s="3" t="s">
        <v>203</v>
      </c>
      <c r="J7" s="3" t="s">
        <v>204</v>
      </c>
      <c r="K7" s="3" t="s">
        <v>205</v>
      </c>
      <c r="L7" s="3" t="s">
        <v>206</v>
      </c>
      <c r="M7" s="3" t="s">
        <v>202</v>
      </c>
    </row>
    <row r="8">
      <c r="A8" s="5" t="s">
        <v>36</v>
      </c>
      <c r="B8" s="5">
        <v>30.0</v>
      </c>
      <c r="C8" s="7">
        <v>929.0</v>
      </c>
      <c r="D8" s="28">
        <v>1.6075180614E10</v>
      </c>
      <c r="E8" s="7">
        <v>806.0</v>
      </c>
      <c r="F8" s="8">
        <f t="shared" ref="F8:F107" si="1">SUM(A8:D8)</f>
        <v>16075181573</v>
      </c>
      <c r="G8" s="7">
        <v>414.0</v>
      </c>
      <c r="H8" s="8">
        <f t="shared" ref="H8:H107" si="2">SUM(B8:F8)</f>
        <v>32150363952</v>
      </c>
      <c r="I8" s="29">
        <f t="shared" ref="I8:I107" si="3">DIVIDE(D8,C8)</f>
        <v>17303746.62</v>
      </c>
      <c r="J8" s="29">
        <f t="shared" ref="J8:J107" si="4">DIVIDE(F8,E8)</f>
        <v>19944394.01</v>
      </c>
      <c r="K8" s="29">
        <f t="shared" ref="K8:K107" si="5">DIVIDE(H8,G8)</f>
        <v>77657883.94</v>
      </c>
      <c r="L8" s="10">
        <f t="shared" ref="L8:L107" si="6">SUM(I8:K8)</f>
        <v>114906024.6</v>
      </c>
      <c r="M8" s="10">
        <f t="shared" ref="M8:M107" si="7">DIVIDE(L8,3)</f>
        <v>38302008.19</v>
      </c>
    </row>
    <row r="9">
      <c r="A9" s="12" t="s">
        <v>36</v>
      </c>
      <c r="B9" s="12">
        <v>27.72</v>
      </c>
      <c r="C9" s="7">
        <v>1071.0</v>
      </c>
      <c r="D9" s="28">
        <v>1.0542572209E10</v>
      </c>
      <c r="E9" s="7">
        <v>924.0</v>
      </c>
      <c r="F9" s="8">
        <f t="shared" si="1"/>
        <v>10542573308</v>
      </c>
      <c r="G9" s="7">
        <v>790.0</v>
      </c>
      <c r="H9" s="8">
        <f t="shared" si="2"/>
        <v>21085147539</v>
      </c>
      <c r="I9" s="29">
        <f t="shared" si="3"/>
        <v>9843671.53</v>
      </c>
      <c r="J9" s="29">
        <f t="shared" si="4"/>
        <v>11409711.37</v>
      </c>
      <c r="K9" s="29">
        <f t="shared" si="5"/>
        <v>26690060.18</v>
      </c>
      <c r="L9" s="10">
        <f t="shared" si="6"/>
        <v>47943443.08</v>
      </c>
      <c r="M9" s="10">
        <f t="shared" si="7"/>
        <v>15981147.69</v>
      </c>
    </row>
    <row r="10">
      <c r="A10" s="12" t="s">
        <v>36</v>
      </c>
      <c r="B10" s="12">
        <v>26.22</v>
      </c>
      <c r="C10" s="7">
        <v>1163.0</v>
      </c>
      <c r="D10" s="28">
        <v>1.3228188782E10</v>
      </c>
      <c r="E10" s="7">
        <v>927.0</v>
      </c>
      <c r="F10" s="8">
        <f t="shared" si="1"/>
        <v>13228189971</v>
      </c>
      <c r="G10" s="7">
        <v>858.0</v>
      </c>
      <c r="H10" s="8">
        <f t="shared" si="2"/>
        <v>26456380869</v>
      </c>
      <c r="I10" s="29">
        <f t="shared" si="3"/>
        <v>11374195</v>
      </c>
      <c r="J10" s="29">
        <f t="shared" si="4"/>
        <v>14269892.09</v>
      </c>
      <c r="K10" s="29">
        <f t="shared" si="5"/>
        <v>30834942.74</v>
      </c>
      <c r="L10" s="10">
        <f t="shared" si="6"/>
        <v>56479029.83</v>
      </c>
      <c r="M10" s="10">
        <f t="shared" si="7"/>
        <v>18826343.28</v>
      </c>
    </row>
    <row r="11">
      <c r="A11" s="12" t="s">
        <v>36</v>
      </c>
      <c r="B11" s="12">
        <v>26.55</v>
      </c>
      <c r="C11" s="7">
        <v>1157.0</v>
      </c>
      <c r="D11" s="28">
        <v>9.3787517E9</v>
      </c>
      <c r="E11" s="7">
        <v>996.0</v>
      </c>
      <c r="F11" s="8">
        <f t="shared" si="1"/>
        <v>9378752884</v>
      </c>
      <c r="G11" s="7">
        <v>889.0</v>
      </c>
      <c r="H11" s="8">
        <f t="shared" si="2"/>
        <v>18757506763</v>
      </c>
      <c r="I11" s="29">
        <f t="shared" si="3"/>
        <v>8106094.814</v>
      </c>
      <c r="J11" s="29">
        <f t="shared" si="4"/>
        <v>9416418.558</v>
      </c>
      <c r="K11" s="29">
        <f t="shared" si="5"/>
        <v>21099557.66</v>
      </c>
      <c r="L11" s="10">
        <f t="shared" si="6"/>
        <v>38622071.04</v>
      </c>
      <c r="M11" s="10">
        <f t="shared" si="7"/>
        <v>12874023.68</v>
      </c>
    </row>
    <row r="12">
      <c r="A12" s="12" t="s">
        <v>36</v>
      </c>
      <c r="B12" s="12">
        <v>22.88</v>
      </c>
      <c r="C12" s="7">
        <v>717.0</v>
      </c>
      <c r="D12" s="28">
        <v>1.0005155286E10</v>
      </c>
      <c r="E12" s="7">
        <v>607.0</v>
      </c>
      <c r="F12" s="8">
        <f t="shared" si="1"/>
        <v>10005156026</v>
      </c>
      <c r="G12" s="7">
        <v>496.0</v>
      </c>
      <c r="H12" s="8">
        <f t="shared" si="2"/>
        <v>20010312659</v>
      </c>
      <c r="I12" s="29">
        <f t="shared" si="3"/>
        <v>13954191.47</v>
      </c>
      <c r="J12" s="29">
        <f t="shared" si="4"/>
        <v>16482958.86</v>
      </c>
      <c r="K12" s="29">
        <f t="shared" si="5"/>
        <v>40343372.3</v>
      </c>
      <c r="L12" s="10">
        <f t="shared" si="6"/>
        <v>70780522.63</v>
      </c>
      <c r="M12" s="10">
        <f t="shared" si="7"/>
        <v>23593507.54</v>
      </c>
    </row>
    <row r="13">
      <c r="A13" s="12" t="s">
        <v>36</v>
      </c>
      <c r="B13" s="12">
        <v>21.46</v>
      </c>
      <c r="C13" s="7">
        <v>1116.0</v>
      </c>
      <c r="D13" s="28">
        <v>5.694643304E9</v>
      </c>
      <c r="E13" s="7">
        <v>940.0</v>
      </c>
      <c r="F13" s="8">
        <f t="shared" si="1"/>
        <v>5694644441</v>
      </c>
      <c r="G13" s="7">
        <v>861.0</v>
      </c>
      <c r="H13" s="8">
        <f t="shared" si="2"/>
        <v>11389289823</v>
      </c>
      <c r="I13" s="29">
        <f t="shared" si="3"/>
        <v>5102726.975</v>
      </c>
      <c r="J13" s="29">
        <f t="shared" si="4"/>
        <v>6058132.385</v>
      </c>
      <c r="K13" s="29">
        <f t="shared" si="5"/>
        <v>13227978.89</v>
      </c>
      <c r="L13" s="10">
        <f t="shared" si="6"/>
        <v>24388838.25</v>
      </c>
      <c r="M13" s="10">
        <f t="shared" si="7"/>
        <v>8129612.749</v>
      </c>
    </row>
    <row r="14">
      <c r="A14" s="12" t="s">
        <v>36</v>
      </c>
      <c r="B14" s="12">
        <v>25.71</v>
      </c>
      <c r="C14" s="7">
        <v>414.0</v>
      </c>
      <c r="D14" s="28">
        <v>2.910981196E9</v>
      </c>
      <c r="E14" s="7">
        <v>312.0</v>
      </c>
      <c r="F14" s="8">
        <f t="shared" si="1"/>
        <v>2910981636</v>
      </c>
      <c r="G14" s="7">
        <v>290.0</v>
      </c>
      <c r="H14" s="8">
        <f t="shared" si="2"/>
        <v>5821963583</v>
      </c>
      <c r="I14" s="29">
        <f t="shared" si="3"/>
        <v>7031355.546</v>
      </c>
      <c r="J14" s="29">
        <f t="shared" si="4"/>
        <v>9330069.345</v>
      </c>
      <c r="K14" s="29">
        <f t="shared" si="5"/>
        <v>20075736.49</v>
      </c>
      <c r="L14" s="10">
        <f t="shared" si="6"/>
        <v>36437161.39</v>
      </c>
      <c r="M14" s="10">
        <f t="shared" si="7"/>
        <v>12145720.46</v>
      </c>
    </row>
    <row r="15">
      <c r="A15" s="12" t="s">
        <v>36</v>
      </c>
      <c r="B15" s="12">
        <v>18.32</v>
      </c>
      <c r="C15" s="7">
        <v>826.0</v>
      </c>
      <c r="D15" s="28">
        <v>3.355099414E9</v>
      </c>
      <c r="E15" s="7">
        <v>826.0</v>
      </c>
      <c r="F15" s="8">
        <f t="shared" si="1"/>
        <v>3355100258</v>
      </c>
      <c r="G15" s="7">
        <v>720.0</v>
      </c>
      <c r="H15" s="8">
        <f t="shared" si="2"/>
        <v>6710201343</v>
      </c>
      <c r="I15" s="29">
        <f t="shared" si="3"/>
        <v>4061863.697</v>
      </c>
      <c r="J15" s="29">
        <f t="shared" si="4"/>
        <v>4061864.72</v>
      </c>
      <c r="K15" s="29">
        <f t="shared" si="5"/>
        <v>9319724.087</v>
      </c>
      <c r="L15" s="10">
        <f t="shared" si="6"/>
        <v>17443452.5</v>
      </c>
      <c r="M15" s="10">
        <f t="shared" si="7"/>
        <v>5814484.168</v>
      </c>
    </row>
    <row r="16">
      <c r="A16" s="12" t="s">
        <v>46</v>
      </c>
      <c r="B16" s="12">
        <v>19.73</v>
      </c>
      <c r="C16" s="7">
        <v>1081.0</v>
      </c>
      <c r="D16" s="28">
        <v>3.455361789E9</v>
      </c>
      <c r="E16" s="7">
        <v>1126.0</v>
      </c>
      <c r="F16" s="8">
        <f t="shared" si="1"/>
        <v>3455362890</v>
      </c>
      <c r="G16" s="7">
        <v>891.0</v>
      </c>
      <c r="H16" s="8">
        <f t="shared" si="2"/>
        <v>6910726905</v>
      </c>
      <c r="I16" s="29">
        <f t="shared" si="3"/>
        <v>3196449.389</v>
      </c>
      <c r="J16" s="29">
        <f t="shared" si="4"/>
        <v>3068705.941</v>
      </c>
      <c r="K16" s="29">
        <f t="shared" si="5"/>
        <v>7756146.92</v>
      </c>
      <c r="L16" s="10">
        <f t="shared" si="6"/>
        <v>14021302.25</v>
      </c>
      <c r="M16" s="10">
        <f t="shared" si="7"/>
        <v>4673767.416</v>
      </c>
    </row>
    <row r="17">
      <c r="A17" s="12" t="s">
        <v>48</v>
      </c>
      <c r="B17" s="12">
        <v>17.56</v>
      </c>
      <c r="C17" s="7">
        <v>1113.0</v>
      </c>
      <c r="D17" s="28">
        <v>3.770188248E9</v>
      </c>
      <c r="E17" s="7">
        <v>965.0</v>
      </c>
      <c r="F17" s="8">
        <f t="shared" si="1"/>
        <v>3770189379</v>
      </c>
      <c r="G17" s="7">
        <v>803.0</v>
      </c>
      <c r="H17" s="8">
        <f t="shared" si="2"/>
        <v>7540379722</v>
      </c>
      <c r="I17" s="29">
        <f t="shared" si="3"/>
        <v>3387410.825</v>
      </c>
      <c r="J17" s="29">
        <f t="shared" si="4"/>
        <v>3906931.999</v>
      </c>
      <c r="K17" s="29">
        <f t="shared" si="5"/>
        <v>9390261.173</v>
      </c>
      <c r="L17" s="10">
        <f t="shared" si="6"/>
        <v>16684604</v>
      </c>
      <c r="M17" s="10">
        <f t="shared" si="7"/>
        <v>5561534.666</v>
      </c>
    </row>
    <row r="18">
      <c r="A18" s="12" t="s">
        <v>50</v>
      </c>
      <c r="B18" s="12">
        <v>18.4</v>
      </c>
      <c r="C18" s="7">
        <v>2806.0</v>
      </c>
      <c r="D18" s="28">
        <v>7.192178104E9</v>
      </c>
      <c r="E18" s="7">
        <v>2831.0</v>
      </c>
      <c r="F18" s="8">
        <f t="shared" si="1"/>
        <v>7192180928</v>
      </c>
      <c r="G18" s="7">
        <v>2779.0</v>
      </c>
      <c r="H18" s="8">
        <f t="shared" si="2"/>
        <v>14384364688</v>
      </c>
      <c r="I18" s="29">
        <f t="shared" si="3"/>
        <v>2563142.589</v>
      </c>
      <c r="J18" s="29">
        <f t="shared" si="4"/>
        <v>2540508.982</v>
      </c>
      <c r="K18" s="29">
        <f t="shared" si="5"/>
        <v>5176093.806</v>
      </c>
      <c r="L18" s="10">
        <f t="shared" si="6"/>
        <v>10279745.38</v>
      </c>
      <c r="M18" s="10">
        <f t="shared" si="7"/>
        <v>3426581.792</v>
      </c>
    </row>
    <row r="19">
      <c r="A19" s="12" t="s">
        <v>36</v>
      </c>
      <c r="B19" s="12">
        <v>20.19</v>
      </c>
      <c r="C19" s="7">
        <v>350.0</v>
      </c>
      <c r="D19" s="28">
        <v>1.57776501E9</v>
      </c>
      <c r="E19" s="7">
        <v>283.0</v>
      </c>
      <c r="F19" s="8">
        <f t="shared" si="1"/>
        <v>1577765380</v>
      </c>
      <c r="G19" s="7">
        <v>264.0</v>
      </c>
      <c r="H19" s="8">
        <f t="shared" si="2"/>
        <v>3155531043</v>
      </c>
      <c r="I19" s="29">
        <f t="shared" si="3"/>
        <v>4507900.029</v>
      </c>
      <c r="J19" s="29">
        <f t="shared" si="4"/>
        <v>5575142.686</v>
      </c>
      <c r="K19" s="29">
        <f t="shared" si="5"/>
        <v>11952769.1</v>
      </c>
      <c r="L19" s="10">
        <f t="shared" si="6"/>
        <v>22035811.82</v>
      </c>
      <c r="M19" s="10">
        <f t="shared" si="7"/>
        <v>7345270.606</v>
      </c>
    </row>
    <row r="20">
      <c r="A20" s="12" t="s">
        <v>46</v>
      </c>
      <c r="B20" s="12">
        <v>17.74</v>
      </c>
      <c r="C20" s="7">
        <v>1131.0</v>
      </c>
      <c r="D20" s="28">
        <v>2.950249584E9</v>
      </c>
      <c r="E20" s="7">
        <v>1007.0</v>
      </c>
      <c r="F20" s="8">
        <f t="shared" si="1"/>
        <v>2950250733</v>
      </c>
      <c r="G20" s="7">
        <v>823.0</v>
      </c>
      <c r="H20" s="8">
        <f t="shared" si="2"/>
        <v>5900502472</v>
      </c>
      <c r="I20" s="29">
        <f t="shared" si="3"/>
        <v>2608531.905</v>
      </c>
      <c r="J20" s="29">
        <f t="shared" si="4"/>
        <v>2929742.535</v>
      </c>
      <c r="K20" s="29">
        <f t="shared" si="5"/>
        <v>7169504.827</v>
      </c>
      <c r="L20" s="10">
        <f t="shared" si="6"/>
        <v>12707779.27</v>
      </c>
      <c r="M20" s="10">
        <f t="shared" si="7"/>
        <v>4235926.422</v>
      </c>
    </row>
    <row r="21">
      <c r="A21" s="12" t="s">
        <v>55</v>
      </c>
      <c r="B21" s="12">
        <v>13.48</v>
      </c>
      <c r="C21" s="7">
        <v>4632.0</v>
      </c>
      <c r="D21" s="28">
        <v>6.958786147E9</v>
      </c>
      <c r="E21" s="7">
        <v>4377.0</v>
      </c>
      <c r="F21" s="8">
        <f t="shared" si="1"/>
        <v>6958790792</v>
      </c>
      <c r="G21" s="7">
        <v>4441.0</v>
      </c>
      <c r="H21" s="8">
        <f t="shared" si="2"/>
        <v>13917585962</v>
      </c>
      <c r="I21" s="29">
        <f t="shared" si="3"/>
        <v>1502328.616</v>
      </c>
      <c r="J21" s="29">
        <f t="shared" si="4"/>
        <v>1589853.962</v>
      </c>
      <c r="K21" s="29">
        <f t="shared" si="5"/>
        <v>3133885.603</v>
      </c>
      <c r="L21" s="10">
        <f t="shared" si="6"/>
        <v>6226068.18</v>
      </c>
      <c r="M21" s="10">
        <f t="shared" si="7"/>
        <v>2075356.06</v>
      </c>
    </row>
    <row r="22">
      <c r="A22" s="12" t="s">
        <v>56</v>
      </c>
      <c r="B22" s="12">
        <v>18.2</v>
      </c>
      <c r="C22" s="7">
        <v>927.0</v>
      </c>
      <c r="D22" s="28">
        <v>3.545352166E9</v>
      </c>
      <c r="E22" s="7">
        <v>836.0</v>
      </c>
      <c r="F22" s="8">
        <f t="shared" si="1"/>
        <v>3545353111</v>
      </c>
      <c r="G22" s="7">
        <v>853.0</v>
      </c>
      <c r="H22" s="8">
        <f t="shared" si="2"/>
        <v>7090707058</v>
      </c>
      <c r="I22" s="29">
        <f t="shared" si="3"/>
        <v>3824543.868</v>
      </c>
      <c r="J22" s="29">
        <f t="shared" si="4"/>
        <v>4240853.004</v>
      </c>
      <c r="K22" s="29">
        <f t="shared" si="5"/>
        <v>8312669.471</v>
      </c>
      <c r="L22" s="10">
        <f t="shared" si="6"/>
        <v>16378066.34</v>
      </c>
      <c r="M22" s="10">
        <f t="shared" si="7"/>
        <v>5459355.448</v>
      </c>
    </row>
    <row r="23">
      <c r="A23" s="12" t="s">
        <v>58</v>
      </c>
      <c r="B23" s="12">
        <v>10.2</v>
      </c>
      <c r="C23" s="7">
        <v>6194.0</v>
      </c>
      <c r="D23" s="28">
        <v>8.272275438E9</v>
      </c>
      <c r="E23" s="7">
        <v>7404.0</v>
      </c>
      <c r="F23" s="8">
        <f t="shared" si="1"/>
        <v>8272281642</v>
      </c>
      <c r="G23" s="7">
        <v>6435.0</v>
      </c>
      <c r="H23" s="8">
        <f t="shared" si="2"/>
        <v>16544570688</v>
      </c>
      <c r="I23" s="29">
        <f t="shared" si="3"/>
        <v>1335530.423</v>
      </c>
      <c r="J23" s="29">
        <f t="shared" si="4"/>
        <v>1117271.967</v>
      </c>
      <c r="K23" s="29">
        <f t="shared" si="5"/>
        <v>2571028.856</v>
      </c>
      <c r="L23" s="10">
        <f t="shared" si="6"/>
        <v>5023831.245</v>
      </c>
      <c r="M23" s="10">
        <f t="shared" si="7"/>
        <v>1674610.415</v>
      </c>
    </row>
    <row r="24">
      <c r="A24" s="12" t="s">
        <v>60</v>
      </c>
      <c r="B24" s="12">
        <v>24.24</v>
      </c>
      <c r="C24" s="7">
        <v>1063.0</v>
      </c>
      <c r="D24" s="28">
        <v>3.264837349E9</v>
      </c>
      <c r="E24" s="7">
        <v>957.0</v>
      </c>
      <c r="F24" s="8">
        <f t="shared" si="1"/>
        <v>3264838436</v>
      </c>
      <c r="G24" s="7">
        <v>881.0</v>
      </c>
      <c r="H24" s="8">
        <f t="shared" si="2"/>
        <v>6529677829</v>
      </c>
      <c r="I24" s="29">
        <f t="shared" si="3"/>
        <v>3071342.755</v>
      </c>
      <c r="J24" s="29">
        <f t="shared" si="4"/>
        <v>3411534.416</v>
      </c>
      <c r="K24" s="29">
        <f t="shared" si="5"/>
        <v>7411666.095</v>
      </c>
      <c r="L24" s="10">
        <f t="shared" si="6"/>
        <v>13894543.27</v>
      </c>
      <c r="M24" s="10">
        <f t="shared" si="7"/>
        <v>4631514.422</v>
      </c>
    </row>
    <row r="25">
      <c r="A25" s="12" t="s">
        <v>62</v>
      </c>
      <c r="B25" s="12">
        <v>13.97</v>
      </c>
      <c r="C25" s="7">
        <v>1025.0</v>
      </c>
      <c r="D25" s="28">
        <v>2.167771789E9</v>
      </c>
      <c r="E25" s="7">
        <v>1172.0</v>
      </c>
      <c r="F25" s="8">
        <f t="shared" si="1"/>
        <v>2167772828</v>
      </c>
      <c r="G25" s="7">
        <v>1173.0</v>
      </c>
      <c r="H25" s="8">
        <f t="shared" si="2"/>
        <v>4335546828</v>
      </c>
      <c r="I25" s="29">
        <f t="shared" si="3"/>
        <v>2114899.306</v>
      </c>
      <c r="J25" s="29">
        <f t="shared" si="4"/>
        <v>1849635.519</v>
      </c>
      <c r="K25" s="29">
        <f t="shared" si="5"/>
        <v>3696118.353</v>
      </c>
      <c r="L25" s="10">
        <f t="shared" si="6"/>
        <v>7660653.178</v>
      </c>
      <c r="M25" s="10">
        <f t="shared" si="7"/>
        <v>2553551.059</v>
      </c>
    </row>
    <row r="26">
      <c r="A26" s="12" t="s">
        <v>36</v>
      </c>
      <c r="B26" s="12">
        <v>20.2</v>
      </c>
      <c r="C26" s="7">
        <v>394.0</v>
      </c>
      <c r="D26" s="28">
        <v>1.477560332E9</v>
      </c>
      <c r="E26" s="7">
        <v>335.0</v>
      </c>
      <c r="F26" s="8">
        <f t="shared" si="1"/>
        <v>1477560746</v>
      </c>
      <c r="G26" s="7">
        <v>244.0</v>
      </c>
      <c r="H26" s="8">
        <f t="shared" si="2"/>
        <v>2955121827</v>
      </c>
      <c r="I26" s="29">
        <f t="shared" si="3"/>
        <v>3750153.127</v>
      </c>
      <c r="J26" s="29">
        <f t="shared" si="4"/>
        <v>4410629.093</v>
      </c>
      <c r="K26" s="29">
        <f t="shared" si="5"/>
        <v>12111155.03</v>
      </c>
      <c r="L26" s="10">
        <f t="shared" si="6"/>
        <v>20271937.25</v>
      </c>
      <c r="M26" s="10">
        <f t="shared" si="7"/>
        <v>6757312.417</v>
      </c>
    </row>
    <row r="27">
      <c r="A27" s="12" t="s">
        <v>65</v>
      </c>
      <c r="B27" s="12">
        <v>12.8</v>
      </c>
      <c r="C27" s="7">
        <v>1734.0</v>
      </c>
      <c r="D27" s="28">
        <v>3.766666456E9</v>
      </c>
      <c r="E27" s="7">
        <v>2268.0</v>
      </c>
      <c r="F27" s="8">
        <f t="shared" si="1"/>
        <v>3766668203</v>
      </c>
      <c r="G27" s="7">
        <v>2878.0</v>
      </c>
      <c r="H27" s="8">
        <f t="shared" si="2"/>
        <v>7533338674</v>
      </c>
      <c r="I27" s="29">
        <f t="shared" si="3"/>
        <v>2172241.324</v>
      </c>
      <c r="J27" s="29">
        <f t="shared" si="4"/>
        <v>1660788.449</v>
      </c>
      <c r="K27" s="29">
        <f t="shared" si="5"/>
        <v>2617560.345</v>
      </c>
      <c r="L27" s="10">
        <f t="shared" si="6"/>
        <v>6450590.119</v>
      </c>
      <c r="M27" s="10">
        <f t="shared" si="7"/>
        <v>2150196.706</v>
      </c>
    </row>
    <row r="28">
      <c r="A28" s="12" t="s">
        <v>66</v>
      </c>
      <c r="B28" s="12">
        <v>18.89</v>
      </c>
      <c r="C28" s="7">
        <v>920.0</v>
      </c>
      <c r="D28" s="28">
        <v>2.880978049E9</v>
      </c>
      <c r="E28" s="7">
        <v>920.0</v>
      </c>
      <c r="F28" s="8">
        <f t="shared" si="1"/>
        <v>2880978988</v>
      </c>
      <c r="G28" s="7">
        <v>887.0</v>
      </c>
      <c r="H28" s="8">
        <f t="shared" si="2"/>
        <v>5761958896</v>
      </c>
      <c r="I28" s="29">
        <f t="shared" si="3"/>
        <v>3131497.879</v>
      </c>
      <c r="J28" s="29">
        <f t="shared" si="4"/>
        <v>3131498.9</v>
      </c>
      <c r="K28" s="29">
        <f t="shared" si="5"/>
        <v>6496007.774</v>
      </c>
      <c r="L28" s="10">
        <f t="shared" si="6"/>
        <v>12759004.55</v>
      </c>
      <c r="M28" s="10">
        <f t="shared" si="7"/>
        <v>4253001.518</v>
      </c>
    </row>
    <row r="29">
      <c r="A29" s="12" t="s">
        <v>68</v>
      </c>
      <c r="B29" s="12">
        <v>17.06</v>
      </c>
      <c r="C29" s="7">
        <v>1860.0</v>
      </c>
      <c r="D29" s="28">
        <v>3.910418622E9</v>
      </c>
      <c r="E29" s="7">
        <v>1957.0</v>
      </c>
      <c r="F29" s="8">
        <f t="shared" si="1"/>
        <v>3910420499</v>
      </c>
      <c r="G29" s="7">
        <v>1448.0</v>
      </c>
      <c r="H29" s="8">
        <f t="shared" si="2"/>
        <v>7820842955</v>
      </c>
      <c r="I29" s="29">
        <f t="shared" si="3"/>
        <v>2102375.603</v>
      </c>
      <c r="J29" s="29">
        <f t="shared" si="4"/>
        <v>1998170.924</v>
      </c>
      <c r="K29" s="29">
        <f t="shared" si="5"/>
        <v>5401134.638</v>
      </c>
      <c r="L29" s="10">
        <f t="shared" si="6"/>
        <v>9501681.165</v>
      </c>
      <c r="M29" s="10">
        <f t="shared" si="7"/>
        <v>3167227.055</v>
      </c>
    </row>
    <row r="30">
      <c r="A30" s="12" t="s">
        <v>70</v>
      </c>
      <c r="B30" s="12">
        <v>15.73</v>
      </c>
      <c r="C30" s="7">
        <v>2634.0</v>
      </c>
      <c r="D30" s="28">
        <v>5.159395091E9</v>
      </c>
      <c r="E30" s="7">
        <v>2312.0</v>
      </c>
      <c r="F30" s="8">
        <f t="shared" si="1"/>
        <v>5159397741</v>
      </c>
      <c r="G30" s="7">
        <v>2202.0</v>
      </c>
      <c r="H30" s="8">
        <f t="shared" si="2"/>
        <v>10318797793</v>
      </c>
      <c r="I30" s="29">
        <f t="shared" si="3"/>
        <v>1958768.068</v>
      </c>
      <c r="J30" s="29">
        <f t="shared" si="4"/>
        <v>2231573.417</v>
      </c>
      <c r="K30" s="29">
        <f t="shared" si="5"/>
        <v>4686102.54</v>
      </c>
      <c r="L30" s="10">
        <f t="shared" si="6"/>
        <v>8876444.025</v>
      </c>
      <c r="M30" s="10">
        <f t="shared" si="7"/>
        <v>2958814.675</v>
      </c>
    </row>
    <row r="31">
      <c r="A31" s="12" t="s">
        <v>72</v>
      </c>
      <c r="B31" s="12">
        <v>16.67</v>
      </c>
      <c r="C31" s="7">
        <v>351.0</v>
      </c>
      <c r="D31" s="28">
        <v>1.214344605E9</v>
      </c>
      <c r="E31" s="7">
        <v>353.0</v>
      </c>
      <c r="F31" s="8">
        <f t="shared" si="1"/>
        <v>1214344973</v>
      </c>
      <c r="G31" s="7">
        <v>359.0</v>
      </c>
      <c r="H31" s="8">
        <f t="shared" si="2"/>
        <v>2428690298</v>
      </c>
      <c r="I31" s="29">
        <f t="shared" si="3"/>
        <v>3459671.239</v>
      </c>
      <c r="J31" s="29">
        <f t="shared" si="4"/>
        <v>3440070.744</v>
      </c>
      <c r="K31" s="29">
        <f t="shared" si="5"/>
        <v>6765154.034</v>
      </c>
      <c r="L31" s="10">
        <f t="shared" si="6"/>
        <v>13664896.02</v>
      </c>
      <c r="M31" s="10">
        <f t="shared" si="7"/>
        <v>4554965.339</v>
      </c>
    </row>
    <row r="32">
      <c r="A32" s="12" t="s">
        <v>36</v>
      </c>
      <c r="B32" s="12">
        <v>25.57</v>
      </c>
      <c r="C32" s="7">
        <v>237.0</v>
      </c>
      <c r="D32" s="28">
        <v>1.776610058E9</v>
      </c>
      <c r="E32" s="7">
        <v>203.0</v>
      </c>
      <c r="F32" s="8">
        <f t="shared" si="1"/>
        <v>1776610321</v>
      </c>
      <c r="G32" s="7">
        <v>187.0</v>
      </c>
      <c r="H32" s="8">
        <f t="shared" si="2"/>
        <v>3553220844</v>
      </c>
      <c r="I32" s="29">
        <f t="shared" si="3"/>
        <v>7496244.97</v>
      </c>
      <c r="J32" s="29">
        <f t="shared" si="4"/>
        <v>8751774.978</v>
      </c>
      <c r="K32" s="29">
        <f t="shared" si="5"/>
        <v>19001180.98</v>
      </c>
      <c r="L32" s="10">
        <f t="shared" si="6"/>
        <v>35249200.93</v>
      </c>
      <c r="M32" s="10">
        <f t="shared" si="7"/>
        <v>11749733.64</v>
      </c>
    </row>
    <row r="33">
      <c r="A33" s="12" t="s">
        <v>36</v>
      </c>
      <c r="B33" s="12">
        <v>21.51</v>
      </c>
      <c r="C33" s="7">
        <v>293.0</v>
      </c>
      <c r="D33" s="28">
        <v>2.171509068E9</v>
      </c>
      <c r="E33" s="7">
        <v>240.0</v>
      </c>
      <c r="F33" s="8">
        <f t="shared" si="1"/>
        <v>2171509383</v>
      </c>
      <c r="G33" s="7">
        <v>194.0</v>
      </c>
      <c r="H33" s="8">
        <f t="shared" si="2"/>
        <v>4343019005</v>
      </c>
      <c r="I33" s="29">
        <f t="shared" si="3"/>
        <v>7411293.747</v>
      </c>
      <c r="J33" s="29">
        <f t="shared" si="4"/>
        <v>9047955.76</v>
      </c>
      <c r="K33" s="29">
        <f t="shared" si="5"/>
        <v>22386695.9</v>
      </c>
      <c r="L33" s="10">
        <f t="shared" si="6"/>
        <v>38845945.41</v>
      </c>
      <c r="M33" s="10">
        <f t="shared" si="7"/>
        <v>12948648.47</v>
      </c>
    </row>
    <row r="34">
      <c r="A34" s="12" t="s">
        <v>36</v>
      </c>
      <c r="B34" s="12">
        <v>25.44</v>
      </c>
      <c r="C34" s="7">
        <v>456.0</v>
      </c>
      <c r="D34" s="28">
        <v>3.14945738E9</v>
      </c>
      <c r="E34" s="7">
        <v>330.0</v>
      </c>
      <c r="F34" s="8">
        <f t="shared" si="1"/>
        <v>3149457861</v>
      </c>
      <c r="G34" s="7">
        <v>219.0</v>
      </c>
      <c r="H34" s="8">
        <f t="shared" si="2"/>
        <v>6298916053</v>
      </c>
      <c r="I34" s="29">
        <f t="shared" si="3"/>
        <v>6906704.781</v>
      </c>
      <c r="J34" s="29">
        <f t="shared" si="4"/>
        <v>9543811.701</v>
      </c>
      <c r="K34" s="29">
        <f t="shared" si="5"/>
        <v>28762173.76</v>
      </c>
      <c r="L34" s="10">
        <f t="shared" si="6"/>
        <v>45212690.24</v>
      </c>
      <c r="M34" s="10">
        <f t="shared" si="7"/>
        <v>15070896.75</v>
      </c>
    </row>
    <row r="35">
      <c r="A35" s="12" t="s">
        <v>46</v>
      </c>
      <c r="B35" s="12">
        <v>17.68</v>
      </c>
      <c r="C35" s="7">
        <v>1025.0</v>
      </c>
      <c r="D35" s="28">
        <v>2.754369047E9</v>
      </c>
      <c r="E35" s="7">
        <v>1126.0</v>
      </c>
      <c r="F35" s="8">
        <f t="shared" si="1"/>
        <v>2754370090</v>
      </c>
      <c r="G35" s="7">
        <v>926.0</v>
      </c>
      <c r="H35" s="8">
        <f t="shared" si="2"/>
        <v>5508741305</v>
      </c>
      <c r="I35" s="29">
        <f t="shared" si="3"/>
        <v>2687189.314</v>
      </c>
      <c r="J35" s="29">
        <f t="shared" si="4"/>
        <v>2446154.609</v>
      </c>
      <c r="K35" s="29">
        <f t="shared" si="5"/>
        <v>5948964.693</v>
      </c>
      <c r="L35" s="10">
        <f t="shared" si="6"/>
        <v>11082308.62</v>
      </c>
      <c r="M35" s="10">
        <f t="shared" si="7"/>
        <v>3694102.872</v>
      </c>
    </row>
    <row r="36">
      <c r="A36" s="12" t="s">
        <v>78</v>
      </c>
      <c r="B36" s="12">
        <v>15.31</v>
      </c>
      <c r="C36" s="7">
        <v>2065.0</v>
      </c>
      <c r="D36" s="28">
        <v>4.252808524E9</v>
      </c>
      <c r="E36" s="7">
        <v>2222.0</v>
      </c>
      <c r="F36" s="8">
        <f t="shared" si="1"/>
        <v>4252810604</v>
      </c>
      <c r="G36" s="7">
        <v>1655.0</v>
      </c>
      <c r="H36" s="8">
        <f t="shared" si="2"/>
        <v>8505623431</v>
      </c>
      <c r="I36" s="29">
        <f t="shared" si="3"/>
        <v>2059471.44</v>
      </c>
      <c r="J36" s="29">
        <f t="shared" si="4"/>
        <v>1913956.168</v>
      </c>
      <c r="K36" s="29">
        <f t="shared" si="5"/>
        <v>5139349.505</v>
      </c>
      <c r="L36" s="10">
        <f t="shared" si="6"/>
        <v>9112777.113</v>
      </c>
      <c r="M36" s="10">
        <f t="shared" si="7"/>
        <v>3037592.371</v>
      </c>
    </row>
    <row r="37">
      <c r="A37" s="12" t="s">
        <v>81</v>
      </c>
      <c r="B37" s="12">
        <v>12.0</v>
      </c>
      <c r="C37" s="7">
        <v>2484.0</v>
      </c>
      <c r="D37" s="28">
        <v>2.374306377E9</v>
      </c>
      <c r="E37" s="7">
        <v>2262.0</v>
      </c>
      <c r="F37" s="8">
        <f t="shared" si="1"/>
        <v>2374308873</v>
      </c>
      <c r="G37" s="7">
        <v>2240.0</v>
      </c>
      <c r="H37" s="8">
        <f t="shared" si="2"/>
        <v>4748620008</v>
      </c>
      <c r="I37" s="29">
        <f t="shared" si="3"/>
        <v>955839.9263</v>
      </c>
      <c r="J37" s="29">
        <f t="shared" si="4"/>
        <v>1049650.253</v>
      </c>
      <c r="K37" s="29">
        <f t="shared" si="5"/>
        <v>2119919.646</v>
      </c>
      <c r="L37" s="10">
        <f t="shared" si="6"/>
        <v>4125409.826</v>
      </c>
      <c r="M37" s="10">
        <f t="shared" si="7"/>
        <v>1375136.609</v>
      </c>
    </row>
    <row r="38">
      <c r="A38" s="12" t="s">
        <v>82</v>
      </c>
      <c r="B38" s="12">
        <v>10.77</v>
      </c>
      <c r="C38" s="7">
        <v>3125.0</v>
      </c>
      <c r="D38" s="28">
        <v>2.128936897E9</v>
      </c>
      <c r="E38" s="7">
        <v>3222.0</v>
      </c>
      <c r="F38" s="8">
        <f t="shared" si="1"/>
        <v>2128940033</v>
      </c>
      <c r="G38" s="7">
        <v>3234.0</v>
      </c>
      <c r="H38" s="8">
        <f t="shared" si="2"/>
        <v>4257883288</v>
      </c>
      <c r="I38" s="29">
        <f t="shared" si="3"/>
        <v>681259.807</v>
      </c>
      <c r="J38" s="29">
        <f t="shared" si="4"/>
        <v>660751.0965</v>
      </c>
      <c r="K38" s="29">
        <f t="shared" si="5"/>
        <v>1316599.656</v>
      </c>
      <c r="L38" s="10">
        <f t="shared" si="6"/>
        <v>2658610.56</v>
      </c>
      <c r="M38" s="10">
        <f t="shared" si="7"/>
        <v>886203.5198</v>
      </c>
    </row>
    <row r="39">
      <c r="A39" s="12" t="s">
        <v>84</v>
      </c>
      <c r="B39" s="12">
        <v>20.73</v>
      </c>
      <c r="C39" s="7">
        <v>356.0</v>
      </c>
      <c r="D39" s="28">
        <v>1.486526081E9</v>
      </c>
      <c r="E39" s="7">
        <v>319.0</v>
      </c>
      <c r="F39" s="8">
        <f t="shared" si="1"/>
        <v>1486526458</v>
      </c>
      <c r="G39" s="7">
        <v>292.0</v>
      </c>
      <c r="H39" s="8">
        <f t="shared" si="2"/>
        <v>2973053234</v>
      </c>
      <c r="I39" s="29">
        <f t="shared" si="3"/>
        <v>4175635.059</v>
      </c>
      <c r="J39" s="29">
        <f t="shared" si="4"/>
        <v>4659957.548</v>
      </c>
      <c r="K39" s="29">
        <f t="shared" si="5"/>
        <v>10181689.16</v>
      </c>
      <c r="L39" s="10">
        <f t="shared" si="6"/>
        <v>19017281.77</v>
      </c>
      <c r="M39" s="10">
        <f t="shared" si="7"/>
        <v>6339093.922</v>
      </c>
    </row>
    <row r="40">
      <c r="A40" s="12" t="s">
        <v>86</v>
      </c>
      <c r="B40" s="12">
        <v>12.78</v>
      </c>
      <c r="C40" s="7">
        <v>1456.0</v>
      </c>
      <c r="D40" s="28">
        <v>1.650837276E9</v>
      </c>
      <c r="E40" s="7">
        <v>1255.0</v>
      </c>
      <c r="F40" s="8">
        <f t="shared" si="1"/>
        <v>1650838745</v>
      </c>
      <c r="G40" s="7">
        <v>1257.0</v>
      </c>
      <c r="H40" s="8">
        <f t="shared" si="2"/>
        <v>3301678745</v>
      </c>
      <c r="I40" s="29">
        <f t="shared" si="3"/>
        <v>1133816.81</v>
      </c>
      <c r="J40" s="29">
        <f t="shared" si="4"/>
        <v>1315409.358</v>
      </c>
      <c r="K40" s="29">
        <f t="shared" si="5"/>
        <v>2626633.846</v>
      </c>
      <c r="L40" s="10">
        <f t="shared" si="6"/>
        <v>5075860.015</v>
      </c>
      <c r="M40" s="10">
        <f t="shared" si="7"/>
        <v>1691953.338</v>
      </c>
    </row>
    <row r="41">
      <c r="A41" s="12" t="s">
        <v>88</v>
      </c>
      <c r="B41" s="12">
        <v>17.6</v>
      </c>
      <c r="C41" s="7">
        <v>449.0</v>
      </c>
      <c r="D41" s="28">
        <v>1.261802398E9</v>
      </c>
      <c r="E41" s="7">
        <v>431.0</v>
      </c>
      <c r="F41" s="8">
        <f t="shared" si="1"/>
        <v>1261802865</v>
      </c>
      <c r="G41" s="7">
        <v>424.0</v>
      </c>
      <c r="H41" s="8">
        <f t="shared" si="2"/>
        <v>2523606160</v>
      </c>
      <c r="I41" s="29">
        <f t="shared" si="3"/>
        <v>2810250.33</v>
      </c>
      <c r="J41" s="29">
        <f t="shared" si="4"/>
        <v>2927616.855</v>
      </c>
      <c r="K41" s="29">
        <f t="shared" si="5"/>
        <v>5951901.321</v>
      </c>
      <c r="L41" s="10">
        <f t="shared" si="6"/>
        <v>11689768.51</v>
      </c>
      <c r="M41" s="10">
        <f t="shared" si="7"/>
        <v>3896589.502</v>
      </c>
    </row>
    <row r="42">
      <c r="A42" s="12" t="s">
        <v>90</v>
      </c>
      <c r="B42" s="12">
        <v>10.66</v>
      </c>
      <c r="C42" s="7">
        <v>3180.0</v>
      </c>
      <c r="D42" s="28">
        <v>2.824630846E9</v>
      </c>
      <c r="E42" s="7">
        <v>3396.0</v>
      </c>
      <c r="F42" s="8">
        <f t="shared" si="1"/>
        <v>2824634037</v>
      </c>
      <c r="G42" s="7">
        <v>3180.0</v>
      </c>
      <c r="H42" s="8">
        <f t="shared" si="2"/>
        <v>5649271469</v>
      </c>
      <c r="I42" s="29">
        <f t="shared" si="3"/>
        <v>888248.6937</v>
      </c>
      <c r="J42" s="29">
        <f t="shared" si="4"/>
        <v>831753.2499</v>
      </c>
      <c r="K42" s="29">
        <f t="shared" si="5"/>
        <v>1776500.462</v>
      </c>
      <c r="L42" s="10">
        <f t="shared" si="6"/>
        <v>3496502.406</v>
      </c>
      <c r="M42" s="10">
        <f t="shared" si="7"/>
        <v>1165500.802</v>
      </c>
    </row>
    <row r="43">
      <c r="A43" s="12" t="s">
        <v>92</v>
      </c>
      <c r="B43" s="12">
        <v>15.61</v>
      </c>
      <c r="C43" s="7">
        <v>3461.0</v>
      </c>
      <c r="D43" s="28">
        <v>6.211526498E9</v>
      </c>
      <c r="E43" s="7">
        <v>3536.0</v>
      </c>
      <c r="F43" s="8">
        <f t="shared" si="1"/>
        <v>6211529975</v>
      </c>
      <c r="G43" s="7">
        <v>3708.0</v>
      </c>
      <c r="H43" s="8">
        <f t="shared" si="2"/>
        <v>12423063485</v>
      </c>
      <c r="I43" s="29">
        <f t="shared" si="3"/>
        <v>1794720.167</v>
      </c>
      <c r="J43" s="29">
        <f t="shared" si="4"/>
        <v>1756654.405</v>
      </c>
      <c r="K43" s="29">
        <f t="shared" si="5"/>
        <v>3350340.746</v>
      </c>
      <c r="L43" s="10">
        <f t="shared" si="6"/>
        <v>6901715.317</v>
      </c>
      <c r="M43" s="10">
        <f t="shared" si="7"/>
        <v>2300571.772</v>
      </c>
    </row>
    <row r="44">
      <c r="A44" s="12" t="s">
        <v>93</v>
      </c>
      <c r="B44" s="12">
        <v>12.92</v>
      </c>
      <c r="C44" s="7">
        <v>1048.0</v>
      </c>
      <c r="D44" s="28">
        <v>2.217767351E9</v>
      </c>
      <c r="E44" s="7">
        <v>1567.0</v>
      </c>
      <c r="F44" s="8">
        <f t="shared" si="1"/>
        <v>2217768412</v>
      </c>
      <c r="G44" s="7">
        <v>1508.0</v>
      </c>
      <c r="H44" s="8">
        <f t="shared" si="2"/>
        <v>4435538391</v>
      </c>
      <c r="I44" s="29">
        <f t="shared" si="3"/>
        <v>2116190.22</v>
      </c>
      <c r="J44" s="29">
        <f t="shared" si="4"/>
        <v>1415295.732</v>
      </c>
      <c r="K44" s="29">
        <f t="shared" si="5"/>
        <v>2941338.455</v>
      </c>
      <c r="L44" s="10">
        <f t="shared" si="6"/>
        <v>6472824.408</v>
      </c>
      <c r="M44" s="10">
        <f t="shared" si="7"/>
        <v>2157608.136</v>
      </c>
    </row>
    <row r="45">
      <c r="A45" s="12" t="s">
        <v>95</v>
      </c>
      <c r="B45" s="12">
        <v>19.2</v>
      </c>
      <c r="C45" s="7">
        <v>196.0</v>
      </c>
      <c r="D45" s="28">
        <v>1.290446692E9</v>
      </c>
      <c r="E45" s="7">
        <v>176.0</v>
      </c>
      <c r="F45" s="8">
        <f t="shared" si="1"/>
        <v>1290446907</v>
      </c>
      <c r="G45" s="7">
        <v>171.0</v>
      </c>
      <c r="H45" s="8">
        <f t="shared" si="2"/>
        <v>2580893990</v>
      </c>
      <c r="I45" s="29">
        <f t="shared" si="3"/>
        <v>6583911.694</v>
      </c>
      <c r="J45" s="29">
        <f t="shared" si="4"/>
        <v>7332084.7</v>
      </c>
      <c r="K45" s="29">
        <f t="shared" si="5"/>
        <v>15092947.31</v>
      </c>
      <c r="L45" s="10">
        <f t="shared" si="6"/>
        <v>29008943.71</v>
      </c>
      <c r="M45" s="10">
        <f t="shared" si="7"/>
        <v>9669647.902</v>
      </c>
    </row>
    <row r="46">
      <c r="A46" s="12" t="s">
        <v>97</v>
      </c>
      <c r="B46" s="12">
        <v>18.49</v>
      </c>
      <c r="C46" s="7">
        <v>335.0</v>
      </c>
      <c r="D46" s="28">
        <v>1.612424681E9</v>
      </c>
      <c r="E46" s="7">
        <v>303.0</v>
      </c>
      <c r="F46" s="8">
        <f t="shared" si="1"/>
        <v>1612425034</v>
      </c>
      <c r="G46" s="7">
        <v>265.0</v>
      </c>
      <c r="H46" s="8">
        <f t="shared" si="2"/>
        <v>3224850372</v>
      </c>
      <c r="I46" s="29">
        <f t="shared" si="3"/>
        <v>4813208.003</v>
      </c>
      <c r="J46" s="29">
        <f t="shared" si="4"/>
        <v>5321534.767</v>
      </c>
      <c r="K46" s="29">
        <f t="shared" si="5"/>
        <v>12169246.69</v>
      </c>
      <c r="L46" s="10">
        <f t="shared" si="6"/>
        <v>22303989.46</v>
      </c>
      <c r="M46" s="10">
        <f t="shared" si="7"/>
        <v>7434663.152</v>
      </c>
    </row>
    <row r="47">
      <c r="A47" s="12" t="s">
        <v>99</v>
      </c>
      <c r="B47" s="12">
        <v>14.07</v>
      </c>
      <c r="C47" s="7">
        <v>1916.0</v>
      </c>
      <c r="D47" s="28">
        <v>2.801991001E9</v>
      </c>
      <c r="E47" s="7">
        <v>1874.0</v>
      </c>
      <c r="F47" s="8">
        <f t="shared" si="1"/>
        <v>2801992931</v>
      </c>
      <c r="G47" s="7">
        <v>1782.0</v>
      </c>
      <c r="H47" s="8">
        <f t="shared" si="2"/>
        <v>5603987736</v>
      </c>
      <c r="I47" s="29">
        <f t="shared" si="3"/>
        <v>1462417.015</v>
      </c>
      <c r="J47" s="29">
        <f t="shared" si="4"/>
        <v>1495193.667</v>
      </c>
      <c r="K47" s="29">
        <f t="shared" si="5"/>
        <v>3144774.263</v>
      </c>
      <c r="L47" s="10">
        <f t="shared" si="6"/>
        <v>6102384.944</v>
      </c>
      <c r="M47" s="10">
        <f t="shared" si="7"/>
        <v>2034128.315</v>
      </c>
    </row>
    <row r="48">
      <c r="A48" s="12" t="s">
        <v>101</v>
      </c>
      <c r="B48" s="12">
        <v>18.3</v>
      </c>
      <c r="C48" s="7">
        <v>234.0</v>
      </c>
      <c r="D48" s="28">
        <v>1.10456709E9</v>
      </c>
      <c r="E48" s="7">
        <v>240.0</v>
      </c>
      <c r="F48" s="8">
        <f t="shared" si="1"/>
        <v>1104567342</v>
      </c>
      <c r="G48" s="7">
        <v>226.0</v>
      </c>
      <c r="H48" s="8">
        <f t="shared" si="2"/>
        <v>2209134925</v>
      </c>
      <c r="I48" s="29">
        <f t="shared" si="3"/>
        <v>4720372.179</v>
      </c>
      <c r="J48" s="29">
        <f t="shared" si="4"/>
        <v>4602363.926</v>
      </c>
      <c r="K48" s="29">
        <f t="shared" si="5"/>
        <v>9774933.295</v>
      </c>
      <c r="L48" s="10">
        <f t="shared" si="6"/>
        <v>19097669.4</v>
      </c>
      <c r="M48" s="10">
        <f t="shared" si="7"/>
        <v>6365889.8</v>
      </c>
    </row>
    <row r="49">
      <c r="A49" s="12" t="s">
        <v>102</v>
      </c>
      <c r="B49" s="12">
        <v>14.9</v>
      </c>
      <c r="C49" s="7">
        <v>845.0</v>
      </c>
      <c r="D49" s="28">
        <v>1.696489777E9</v>
      </c>
      <c r="E49" s="7">
        <v>824.0</v>
      </c>
      <c r="F49" s="8">
        <f t="shared" si="1"/>
        <v>1696490637</v>
      </c>
      <c r="G49" s="7">
        <v>698.0</v>
      </c>
      <c r="H49" s="8">
        <f t="shared" si="2"/>
        <v>3392982098</v>
      </c>
      <c r="I49" s="29">
        <f t="shared" si="3"/>
        <v>2007680.209</v>
      </c>
      <c r="J49" s="29">
        <f t="shared" si="4"/>
        <v>2058847.86</v>
      </c>
      <c r="K49" s="29">
        <f t="shared" si="5"/>
        <v>4861005.871</v>
      </c>
      <c r="L49" s="10">
        <f t="shared" si="6"/>
        <v>8927533.941</v>
      </c>
      <c r="M49" s="10">
        <f t="shared" si="7"/>
        <v>2975844.647</v>
      </c>
    </row>
    <row r="50">
      <c r="A50" s="12" t="s">
        <v>104</v>
      </c>
      <c r="B50" s="12">
        <v>16.99</v>
      </c>
      <c r="C50" s="7">
        <v>1505.0</v>
      </c>
      <c r="D50" s="28">
        <v>3.198135914E9</v>
      </c>
      <c r="E50" s="7">
        <v>989.0</v>
      </c>
      <c r="F50" s="8">
        <f t="shared" si="1"/>
        <v>3198137436</v>
      </c>
      <c r="G50" s="7">
        <v>1698.0</v>
      </c>
      <c r="H50" s="8">
        <f t="shared" si="2"/>
        <v>6396275861</v>
      </c>
      <c r="I50" s="29">
        <f t="shared" si="3"/>
        <v>2125007.252</v>
      </c>
      <c r="J50" s="29">
        <f t="shared" si="4"/>
        <v>3233708.226</v>
      </c>
      <c r="K50" s="29">
        <f t="shared" si="5"/>
        <v>3766946.915</v>
      </c>
      <c r="L50" s="10">
        <f t="shared" si="6"/>
        <v>9125662.393</v>
      </c>
      <c r="M50" s="10">
        <f t="shared" si="7"/>
        <v>3041887.464</v>
      </c>
    </row>
    <row r="51">
      <c r="A51" s="12" t="s">
        <v>106</v>
      </c>
      <c r="B51" s="12">
        <v>16.73</v>
      </c>
      <c r="C51" s="7">
        <v>867.0</v>
      </c>
      <c r="D51" s="28">
        <v>2.19786277E9</v>
      </c>
      <c r="E51" s="7">
        <v>857.0</v>
      </c>
      <c r="F51" s="8">
        <f t="shared" si="1"/>
        <v>2197863654</v>
      </c>
      <c r="G51" s="7">
        <v>878.0</v>
      </c>
      <c r="H51" s="8">
        <f t="shared" si="2"/>
        <v>4395728164</v>
      </c>
      <c r="I51" s="29">
        <f t="shared" si="3"/>
        <v>2535020.496</v>
      </c>
      <c r="J51" s="29">
        <f t="shared" si="4"/>
        <v>2564601.696</v>
      </c>
      <c r="K51" s="29">
        <f t="shared" si="5"/>
        <v>5006524.105</v>
      </c>
      <c r="L51" s="10">
        <f t="shared" si="6"/>
        <v>10106146.3</v>
      </c>
      <c r="M51" s="10">
        <f t="shared" si="7"/>
        <v>3368715.433</v>
      </c>
    </row>
    <row r="52">
      <c r="A52" s="15" t="s">
        <v>108</v>
      </c>
      <c r="B52" s="12">
        <v>9.76</v>
      </c>
      <c r="C52" s="7">
        <v>1320.0</v>
      </c>
      <c r="D52" s="28">
        <v>1.578935008E9</v>
      </c>
      <c r="E52" s="7">
        <v>1320.0</v>
      </c>
      <c r="F52" s="8">
        <f t="shared" si="1"/>
        <v>1578936338</v>
      </c>
      <c r="G52" s="7">
        <v>1320.0</v>
      </c>
      <c r="H52" s="8">
        <f t="shared" si="2"/>
        <v>3157873996</v>
      </c>
      <c r="I52" s="29">
        <f t="shared" si="3"/>
        <v>1196162.885</v>
      </c>
      <c r="J52" s="29">
        <f t="shared" si="4"/>
        <v>1196163.892</v>
      </c>
      <c r="K52" s="29">
        <f t="shared" si="5"/>
        <v>2392328.784</v>
      </c>
      <c r="L52" s="10">
        <f t="shared" si="6"/>
        <v>4784655.562</v>
      </c>
      <c r="M52" s="10">
        <f t="shared" si="7"/>
        <v>1594885.187</v>
      </c>
    </row>
    <row r="53">
      <c r="A53" s="12" t="s">
        <v>109</v>
      </c>
      <c r="B53" s="12">
        <v>13.5</v>
      </c>
      <c r="C53" s="7">
        <v>429.0</v>
      </c>
      <c r="D53" s="28">
        <v>8.6279889E8</v>
      </c>
      <c r="E53" s="7">
        <v>447.0</v>
      </c>
      <c r="F53" s="8">
        <f t="shared" si="1"/>
        <v>862799332.5</v>
      </c>
      <c r="G53" s="7">
        <v>469.0</v>
      </c>
      <c r="H53" s="8">
        <f t="shared" si="2"/>
        <v>1725599112</v>
      </c>
      <c r="I53" s="29">
        <f t="shared" si="3"/>
        <v>2011186.224</v>
      </c>
      <c r="J53" s="29">
        <f t="shared" si="4"/>
        <v>1930199.849</v>
      </c>
      <c r="K53" s="29">
        <f t="shared" si="5"/>
        <v>3679315.804</v>
      </c>
      <c r="L53" s="10">
        <f t="shared" si="6"/>
        <v>7620701.877</v>
      </c>
      <c r="M53" s="10">
        <f t="shared" si="7"/>
        <v>2540233.959</v>
      </c>
    </row>
    <row r="54">
      <c r="A54" s="15" t="s">
        <v>111</v>
      </c>
      <c r="B54" s="12">
        <v>14.5</v>
      </c>
      <c r="C54" s="7">
        <v>802.0</v>
      </c>
      <c r="D54" s="28">
        <v>1.270865777E9</v>
      </c>
      <c r="E54" s="7">
        <v>842.0</v>
      </c>
      <c r="F54" s="8">
        <f t="shared" si="1"/>
        <v>1270866594</v>
      </c>
      <c r="G54" s="7">
        <v>1025.0</v>
      </c>
      <c r="H54" s="8">
        <f t="shared" si="2"/>
        <v>2541734029</v>
      </c>
      <c r="I54" s="29">
        <f t="shared" si="3"/>
        <v>1584620.67</v>
      </c>
      <c r="J54" s="29">
        <f t="shared" si="4"/>
        <v>1509342.748</v>
      </c>
      <c r="K54" s="29">
        <f t="shared" si="5"/>
        <v>2479740.516</v>
      </c>
      <c r="L54" s="10">
        <f t="shared" si="6"/>
        <v>5573703.933</v>
      </c>
      <c r="M54" s="10">
        <f t="shared" si="7"/>
        <v>1857901.311</v>
      </c>
    </row>
    <row r="55">
      <c r="A55" s="12" t="s">
        <v>113</v>
      </c>
      <c r="B55" s="12">
        <v>7.08</v>
      </c>
      <c r="C55" s="7">
        <v>4213.0</v>
      </c>
      <c r="D55" s="28">
        <v>2.145305892E9</v>
      </c>
      <c r="E55" s="7">
        <v>3911.0</v>
      </c>
      <c r="F55" s="8">
        <f t="shared" si="1"/>
        <v>2145310112</v>
      </c>
      <c r="G55" s="7">
        <v>3365.0</v>
      </c>
      <c r="H55" s="8">
        <f t="shared" si="2"/>
        <v>4290624135</v>
      </c>
      <c r="I55" s="29">
        <f t="shared" si="3"/>
        <v>509210.9879</v>
      </c>
      <c r="J55" s="29">
        <f t="shared" si="4"/>
        <v>548532.3733</v>
      </c>
      <c r="K55" s="29">
        <f t="shared" si="5"/>
        <v>1275074.037</v>
      </c>
      <c r="L55" s="10">
        <f t="shared" si="6"/>
        <v>2332817.398</v>
      </c>
      <c r="M55" s="10">
        <f t="shared" si="7"/>
        <v>777605.7995</v>
      </c>
    </row>
    <row r="56">
      <c r="A56" s="12" t="s">
        <v>115</v>
      </c>
      <c r="B56" s="12">
        <v>15.67</v>
      </c>
      <c r="C56" s="7">
        <v>873.0</v>
      </c>
      <c r="D56" s="28">
        <v>1.683688096E9</v>
      </c>
      <c r="E56" s="7">
        <v>777.0</v>
      </c>
      <c r="F56" s="8">
        <f t="shared" si="1"/>
        <v>1683688985</v>
      </c>
      <c r="G56" s="7">
        <v>697.0</v>
      </c>
      <c r="H56" s="8">
        <f t="shared" si="2"/>
        <v>3367378746</v>
      </c>
      <c r="I56" s="29">
        <f t="shared" si="3"/>
        <v>1928623.249</v>
      </c>
      <c r="J56" s="29">
        <f t="shared" si="4"/>
        <v>2166909.89</v>
      </c>
      <c r="K56" s="29">
        <f t="shared" si="5"/>
        <v>4831246.408</v>
      </c>
      <c r="L56" s="10">
        <f t="shared" si="6"/>
        <v>8926779.547</v>
      </c>
      <c r="M56" s="10">
        <f t="shared" si="7"/>
        <v>2975593.182</v>
      </c>
    </row>
    <row r="57">
      <c r="A57" s="12" t="s">
        <v>117</v>
      </c>
      <c r="B57" s="12">
        <v>15.06</v>
      </c>
      <c r="C57" s="7">
        <v>915.0</v>
      </c>
      <c r="D57" s="28">
        <v>1.4418613E9</v>
      </c>
      <c r="E57" s="7">
        <v>868.0</v>
      </c>
      <c r="F57" s="8">
        <f t="shared" si="1"/>
        <v>1441862230</v>
      </c>
      <c r="G57" s="7">
        <v>688.0</v>
      </c>
      <c r="H57" s="8">
        <f t="shared" si="2"/>
        <v>2883725328</v>
      </c>
      <c r="I57" s="29">
        <f t="shared" si="3"/>
        <v>1575804.699</v>
      </c>
      <c r="J57" s="29">
        <f t="shared" si="4"/>
        <v>1661131.601</v>
      </c>
      <c r="K57" s="29">
        <f t="shared" si="5"/>
        <v>4191461.233</v>
      </c>
      <c r="L57" s="10">
        <f t="shared" si="6"/>
        <v>7428397.534</v>
      </c>
      <c r="M57" s="10">
        <f t="shared" si="7"/>
        <v>2476132.511</v>
      </c>
    </row>
    <row r="58">
      <c r="A58" s="12" t="s">
        <v>119</v>
      </c>
      <c r="B58" s="12">
        <v>15.72</v>
      </c>
      <c r="C58" s="7">
        <v>745.0</v>
      </c>
      <c r="D58" s="28">
        <v>1.549702864E9</v>
      </c>
      <c r="E58" s="7">
        <v>720.0</v>
      </c>
      <c r="F58" s="8">
        <f t="shared" si="1"/>
        <v>1549703625</v>
      </c>
      <c r="G58" s="7">
        <v>719.0</v>
      </c>
      <c r="H58" s="8">
        <f t="shared" si="2"/>
        <v>3099407969</v>
      </c>
      <c r="I58" s="29">
        <f t="shared" si="3"/>
        <v>2080138.072</v>
      </c>
      <c r="J58" s="29">
        <f t="shared" si="4"/>
        <v>2152366.145</v>
      </c>
      <c r="K58" s="29">
        <f t="shared" si="5"/>
        <v>4310720.403</v>
      </c>
      <c r="L58" s="10">
        <f t="shared" si="6"/>
        <v>8543224.62</v>
      </c>
      <c r="M58" s="10">
        <f t="shared" si="7"/>
        <v>2847741.54</v>
      </c>
    </row>
    <row r="59">
      <c r="A59" s="12" t="s">
        <v>121</v>
      </c>
      <c r="B59" s="12">
        <v>11.97</v>
      </c>
      <c r="C59" s="7">
        <v>1118.0</v>
      </c>
      <c r="D59" s="28">
        <v>1.04001675E9</v>
      </c>
      <c r="E59" s="7">
        <v>1188.0</v>
      </c>
      <c r="F59" s="8">
        <f t="shared" si="1"/>
        <v>1040017880</v>
      </c>
      <c r="G59" s="7">
        <v>924.0</v>
      </c>
      <c r="H59" s="8">
        <f t="shared" si="2"/>
        <v>2080036948</v>
      </c>
      <c r="I59" s="29">
        <f t="shared" si="3"/>
        <v>930247.5403</v>
      </c>
      <c r="J59" s="29">
        <f t="shared" si="4"/>
        <v>875435.9259</v>
      </c>
      <c r="K59" s="29">
        <f t="shared" si="5"/>
        <v>2251122.238</v>
      </c>
      <c r="L59" s="10">
        <f t="shared" si="6"/>
        <v>4056805.704</v>
      </c>
      <c r="M59" s="10">
        <f t="shared" si="7"/>
        <v>1352268.568</v>
      </c>
    </row>
    <row r="60">
      <c r="A60" s="12" t="s">
        <v>122</v>
      </c>
      <c r="B60" s="12">
        <v>13.5</v>
      </c>
      <c r="C60" s="7">
        <v>757.0</v>
      </c>
      <c r="D60" s="28">
        <v>1.109143729E9</v>
      </c>
      <c r="E60" s="7">
        <v>631.0</v>
      </c>
      <c r="F60" s="8">
        <f t="shared" si="1"/>
        <v>1109144500</v>
      </c>
      <c r="G60" s="7">
        <v>550.0</v>
      </c>
      <c r="H60" s="8">
        <f t="shared" si="2"/>
        <v>2218289630</v>
      </c>
      <c r="I60" s="29">
        <f t="shared" si="3"/>
        <v>1465183.262</v>
      </c>
      <c r="J60" s="29">
        <f t="shared" si="4"/>
        <v>1757756.735</v>
      </c>
      <c r="K60" s="29">
        <f t="shared" si="5"/>
        <v>4033253.873</v>
      </c>
      <c r="L60" s="10">
        <f t="shared" si="6"/>
        <v>7256193.869</v>
      </c>
      <c r="M60" s="10">
        <f t="shared" si="7"/>
        <v>2418731.29</v>
      </c>
    </row>
    <row r="61">
      <c r="A61" s="12" t="s">
        <v>123</v>
      </c>
      <c r="B61" s="12">
        <v>16.17</v>
      </c>
      <c r="C61" s="7">
        <v>736.0</v>
      </c>
      <c r="D61" s="28">
        <v>1.694861454E9</v>
      </c>
      <c r="E61" s="7">
        <v>685.0</v>
      </c>
      <c r="F61" s="8">
        <f t="shared" si="1"/>
        <v>1694862206</v>
      </c>
      <c r="G61" s="7">
        <v>580.0</v>
      </c>
      <c r="H61" s="8">
        <f t="shared" si="2"/>
        <v>3389725097</v>
      </c>
      <c r="I61" s="29">
        <f t="shared" si="3"/>
        <v>2302800.889</v>
      </c>
      <c r="J61" s="29">
        <f t="shared" si="4"/>
        <v>2474251.396</v>
      </c>
      <c r="K61" s="29">
        <f t="shared" si="5"/>
        <v>5844353.616</v>
      </c>
      <c r="L61" s="10">
        <f t="shared" si="6"/>
        <v>10621405.9</v>
      </c>
      <c r="M61" s="10">
        <f t="shared" si="7"/>
        <v>3540468.634</v>
      </c>
    </row>
    <row r="62">
      <c r="A62" s="12" t="s">
        <v>125</v>
      </c>
      <c r="B62" s="12">
        <v>12.9</v>
      </c>
      <c r="C62" s="7">
        <v>1094.0</v>
      </c>
      <c r="D62" s="28">
        <v>1.605765163E9</v>
      </c>
      <c r="E62" s="7">
        <v>1100.0</v>
      </c>
      <c r="F62" s="8">
        <f t="shared" si="1"/>
        <v>1605766270</v>
      </c>
      <c r="G62" s="7">
        <v>794.0</v>
      </c>
      <c r="H62" s="8">
        <f t="shared" si="2"/>
        <v>3211533640</v>
      </c>
      <c r="I62" s="29">
        <f t="shared" si="3"/>
        <v>1467792.654</v>
      </c>
      <c r="J62" s="29">
        <f t="shared" si="4"/>
        <v>1459787.518</v>
      </c>
      <c r="K62" s="29">
        <f t="shared" si="5"/>
        <v>4044752.695</v>
      </c>
      <c r="L62" s="10">
        <f t="shared" si="6"/>
        <v>6972332.867</v>
      </c>
      <c r="M62" s="10">
        <f t="shared" si="7"/>
        <v>2324110.956</v>
      </c>
    </row>
    <row r="63">
      <c r="A63" s="12" t="s">
        <v>127</v>
      </c>
      <c r="B63" s="12">
        <v>24.63</v>
      </c>
      <c r="C63" s="7">
        <v>180.0</v>
      </c>
      <c r="D63" s="28">
        <v>8.89828901E8</v>
      </c>
      <c r="E63" s="7">
        <v>181.0</v>
      </c>
      <c r="F63" s="8">
        <f t="shared" si="1"/>
        <v>889829105.6</v>
      </c>
      <c r="G63" s="7">
        <v>133.0</v>
      </c>
      <c r="H63" s="8">
        <f t="shared" si="2"/>
        <v>1779658392</v>
      </c>
      <c r="I63" s="29">
        <f t="shared" si="3"/>
        <v>4943493.894</v>
      </c>
      <c r="J63" s="29">
        <f t="shared" si="4"/>
        <v>4916182.904</v>
      </c>
      <c r="K63" s="29">
        <f t="shared" si="5"/>
        <v>13380890.17</v>
      </c>
      <c r="L63" s="10">
        <f t="shared" si="6"/>
        <v>23240566.97</v>
      </c>
      <c r="M63" s="10">
        <f t="shared" si="7"/>
        <v>7746855.655</v>
      </c>
    </row>
    <row r="64">
      <c r="A64" s="12" t="s">
        <v>129</v>
      </c>
      <c r="B64" s="12">
        <v>25.61</v>
      </c>
      <c r="C64" s="7">
        <v>230.0</v>
      </c>
      <c r="D64" s="28">
        <v>9.74553286E8</v>
      </c>
      <c r="E64" s="7">
        <v>191.0</v>
      </c>
      <c r="F64" s="8">
        <f t="shared" si="1"/>
        <v>974553541.6</v>
      </c>
      <c r="G64" s="7">
        <v>181.0</v>
      </c>
      <c r="H64" s="8">
        <f t="shared" si="2"/>
        <v>1949107274</v>
      </c>
      <c r="I64" s="29">
        <f t="shared" si="3"/>
        <v>4237188.2</v>
      </c>
      <c r="J64" s="29">
        <f t="shared" si="4"/>
        <v>5102374.563</v>
      </c>
      <c r="K64" s="29">
        <f t="shared" si="5"/>
        <v>10768548.48</v>
      </c>
      <c r="L64" s="10">
        <f t="shared" si="6"/>
        <v>20108111.24</v>
      </c>
      <c r="M64" s="10">
        <f t="shared" si="7"/>
        <v>6702703.747</v>
      </c>
    </row>
    <row r="65">
      <c r="A65" s="12" t="s">
        <v>131</v>
      </c>
      <c r="B65" s="12">
        <v>10.49</v>
      </c>
      <c r="C65" s="7">
        <v>1500.0</v>
      </c>
      <c r="D65" s="28">
        <v>2.000074483E9</v>
      </c>
      <c r="E65" s="7">
        <v>1258.0</v>
      </c>
      <c r="F65" s="8">
        <f t="shared" si="1"/>
        <v>2000075993</v>
      </c>
      <c r="G65" s="7">
        <v>1139.0</v>
      </c>
      <c r="H65" s="8">
        <f t="shared" si="2"/>
        <v>4000153245</v>
      </c>
      <c r="I65" s="29">
        <f t="shared" si="3"/>
        <v>1333382.989</v>
      </c>
      <c r="J65" s="29">
        <f t="shared" si="4"/>
        <v>1589885.527</v>
      </c>
      <c r="K65" s="29">
        <f t="shared" si="5"/>
        <v>3511987.046</v>
      </c>
      <c r="L65" s="10">
        <f t="shared" si="6"/>
        <v>6435255.562</v>
      </c>
      <c r="M65" s="10">
        <f t="shared" si="7"/>
        <v>2145085.187</v>
      </c>
    </row>
    <row r="66">
      <c r="A66" s="12" t="s">
        <v>132</v>
      </c>
      <c r="B66" s="12">
        <v>10.76</v>
      </c>
      <c r="C66" s="7">
        <v>2040.0</v>
      </c>
      <c r="D66" s="28">
        <v>2.110692569E9</v>
      </c>
      <c r="E66" s="7">
        <v>1827.0</v>
      </c>
      <c r="F66" s="8">
        <f t="shared" si="1"/>
        <v>2110694620</v>
      </c>
      <c r="G66" s="7">
        <v>2002.0</v>
      </c>
      <c r="H66" s="8">
        <f t="shared" si="2"/>
        <v>4221391067</v>
      </c>
      <c r="I66" s="29">
        <f t="shared" si="3"/>
        <v>1034653.22</v>
      </c>
      <c r="J66" s="29">
        <f t="shared" si="4"/>
        <v>1155278.938</v>
      </c>
      <c r="K66" s="29">
        <f t="shared" si="5"/>
        <v>2108586.946</v>
      </c>
      <c r="L66" s="10">
        <f t="shared" si="6"/>
        <v>4298519.104</v>
      </c>
      <c r="M66" s="10">
        <f t="shared" si="7"/>
        <v>1432839.701</v>
      </c>
    </row>
    <row r="67">
      <c r="A67" s="12" t="s">
        <v>134</v>
      </c>
      <c r="B67" s="12">
        <v>13.64</v>
      </c>
      <c r="C67" s="7">
        <v>720.0</v>
      </c>
      <c r="D67" s="28">
        <v>1.373569948E9</v>
      </c>
      <c r="E67" s="7">
        <v>720.0</v>
      </c>
      <c r="F67" s="8">
        <f t="shared" si="1"/>
        <v>1373570682</v>
      </c>
      <c r="G67" s="7">
        <v>712.0</v>
      </c>
      <c r="H67" s="8">
        <f t="shared" si="2"/>
        <v>2747142083</v>
      </c>
      <c r="I67" s="29">
        <f t="shared" si="3"/>
        <v>1907736.039</v>
      </c>
      <c r="J67" s="29">
        <f t="shared" si="4"/>
        <v>1907737.058</v>
      </c>
      <c r="K67" s="29">
        <f t="shared" si="5"/>
        <v>3858345.623</v>
      </c>
      <c r="L67" s="10">
        <f t="shared" si="6"/>
        <v>7673818.719</v>
      </c>
      <c r="M67" s="10">
        <f t="shared" si="7"/>
        <v>2557939.573</v>
      </c>
    </row>
    <row r="68">
      <c r="A68" s="12" t="s">
        <v>136</v>
      </c>
      <c r="B68" s="12">
        <v>22.27</v>
      </c>
      <c r="C68" s="7">
        <v>127.0</v>
      </c>
      <c r="D68" s="28">
        <v>9.37214578E8</v>
      </c>
      <c r="E68" s="7">
        <v>132.0</v>
      </c>
      <c r="F68" s="8">
        <f t="shared" si="1"/>
        <v>937214727.3</v>
      </c>
      <c r="G68" s="7">
        <v>120.0</v>
      </c>
      <c r="H68" s="8">
        <f t="shared" si="2"/>
        <v>1874429587</v>
      </c>
      <c r="I68" s="29">
        <f t="shared" si="3"/>
        <v>7379642.346</v>
      </c>
      <c r="J68" s="29">
        <f t="shared" si="4"/>
        <v>7100111.57</v>
      </c>
      <c r="K68" s="29">
        <f t="shared" si="5"/>
        <v>15620246.55</v>
      </c>
      <c r="L68" s="10">
        <f t="shared" si="6"/>
        <v>30100000.47</v>
      </c>
      <c r="M68" s="10">
        <f t="shared" si="7"/>
        <v>10033333.49</v>
      </c>
    </row>
    <row r="69">
      <c r="A69" s="15" t="s">
        <v>138</v>
      </c>
      <c r="B69" s="12">
        <v>15.78</v>
      </c>
      <c r="C69" s="7">
        <v>1067.0</v>
      </c>
      <c r="D69" s="28">
        <v>2.043955923E9</v>
      </c>
      <c r="E69" s="7">
        <v>930.0</v>
      </c>
      <c r="F69" s="8">
        <f t="shared" si="1"/>
        <v>2043957006</v>
      </c>
      <c r="G69" s="7">
        <v>926.0</v>
      </c>
      <c r="H69" s="8">
        <f t="shared" si="2"/>
        <v>4087914942</v>
      </c>
      <c r="I69" s="29">
        <f t="shared" si="3"/>
        <v>1915610.05</v>
      </c>
      <c r="J69" s="29">
        <f t="shared" si="4"/>
        <v>2197803.232</v>
      </c>
      <c r="K69" s="29">
        <f t="shared" si="5"/>
        <v>4414594.969</v>
      </c>
      <c r="L69" s="10">
        <f t="shared" si="6"/>
        <v>8528008.251</v>
      </c>
      <c r="M69" s="10">
        <f t="shared" si="7"/>
        <v>2842669.417</v>
      </c>
    </row>
    <row r="70">
      <c r="A70" s="15" t="s">
        <v>140</v>
      </c>
      <c r="B70" s="12">
        <v>16.16</v>
      </c>
      <c r="C70" s="7">
        <v>444.0</v>
      </c>
      <c r="D70" s="28">
        <v>1.146271748E9</v>
      </c>
      <c r="E70" s="7">
        <v>451.0</v>
      </c>
      <c r="F70" s="8">
        <f t="shared" si="1"/>
        <v>1146272208</v>
      </c>
      <c r="G70" s="7">
        <v>398.0</v>
      </c>
      <c r="H70" s="8">
        <f t="shared" si="2"/>
        <v>2292544867</v>
      </c>
      <c r="I70" s="29">
        <f t="shared" si="3"/>
        <v>2581693.126</v>
      </c>
      <c r="J70" s="29">
        <f t="shared" si="4"/>
        <v>2541623.521</v>
      </c>
      <c r="K70" s="29">
        <f t="shared" si="5"/>
        <v>5760162.983</v>
      </c>
      <c r="L70" s="10">
        <f t="shared" si="6"/>
        <v>10883479.63</v>
      </c>
      <c r="M70" s="10">
        <f t="shared" si="7"/>
        <v>3627826.544</v>
      </c>
    </row>
    <row r="71">
      <c r="A71" s="15" t="s">
        <v>141</v>
      </c>
      <c r="B71" s="12">
        <v>20.16</v>
      </c>
      <c r="C71" s="7">
        <v>165.0</v>
      </c>
      <c r="D71" s="28">
        <v>5.50226956E8</v>
      </c>
      <c r="E71" s="7">
        <v>164.0</v>
      </c>
      <c r="F71" s="8">
        <f t="shared" si="1"/>
        <v>550227141.2</v>
      </c>
      <c r="G71" s="7">
        <v>153.0</v>
      </c>
      <c r="H71" s="8">
        <f t="shared" si="2"/>
        <v>1100454446</v>
      </c>
      <c r="I71" s="29">
        <f t="shared" si="3"/>
        <v>3334708.824</v>
      </c>
      <c r="J71" s="29">
        <f t="shared" si="4"/>
        <v>3355043.544</v>
      </c>
      <c r="K71" s="29">
        <f t="shared" si="5"/>
        <v>7192512.721</v>
      </c>
      <c r="L71" s="10">
        <f t="shared" si="6"/>
        <v>13882265.09</v>
      </c>
      <c r="M71" s="10">
        <f t="shared" si="7"/>
        <v>4627421.696</v>
      </c>
    </row>
    <row r="72">
      <c r="A72" s="15" t="s">
        <v>143</v>
      </c>
      <c r="B72" s="12">
        <v>22.32</v>
      </c>
      <c r="C72" s="7">
        <v>182.0</v>
      </c>
      <c r="D72" s="28">
        <v>7.84355928E8</v>
      </c>
      <c r="E72" s="7">
        <v>169.0</v>
      </c>
      <c r="F72" s="8">
        <f t="shared" si="1"/>
        <v>784356132.3</v>
      </c>
      <c r="G72" s="7">
        <v>169.0</v>
      </c>
      <c r="H72" s="8">
        <f t="shared" si="2"/>
        <v>1568712434</v>
      </c>
      <c r="I72" s="29">
        <f t="shared" si="3"/>
        <v>4309647.956</v>
      </c>
      <c r="J72" s="29">
        <f t="shared" si="4"/>
        <v>4641160.546</v>
      </c>
      <c r="K72" s="29">
        <f t="shared" si="5"/>
        <v>9282322.093</v>
      </c>
      <c r="L72" s="10">
        <f t="shared" si="6"/>
        <v>18233130.59</v>
      </c>
      <c r="M72" s="10">
        <f t="shared" si="7"/>
        <v>6077710.198</v>
      </c>
    </row>
    <row r="73">
      <c r="A73" s="12" t="s">
        <v>145</v>
      </c>
      <c r="B73" s="12">
        <v>15.27</v>
      </c>
      <c r="C73" s="7">
        <v>900.0</v>
      </c>
      <c r="D73" s="28">
        <v>1.650408666E9</v>
      </c>
      <c r="E73" s="7">
        <v>843.0</v>
      </c>
      <c r="F73" s="8">
        <f t="shared" si="1"/>
        <v>1650409581</v>
      </c>
      <c r="G73" s="7">
        <v>787.0</v>
      </c>
      <c r="H73" s="8">
        <f t="shared" si="2"/>
        <v>3300820006</v>
      </c>
      <c r="I73" s="29">
        <f t="shared" si="3"/>
        <v>1833787.407</v>
      </c>
      <c r="J73" s="29">
        <f t="shared" si="4"/>
        <v>1957781.235</v>
      </c>
      <c r="K73" s="29">
        <f t="shared" si="5"/>
        <v>4194180.439</v>
      </c>
      <c r="L73" s="10">
        <f t="shared" si="6"/>
        <v>7985749.081</v>
      </c>
      <c r="M73" s="10">
        <f t="shared" si="7"/>
        <v>2661916.36</v>
      </c>
    </row>
    <row r="74">
      <c r="A74" s="15" t="s">
        <v>147</v>
      </c>
      <c r="B74" s="12">
        <v>9.43</v>
      </c>
      <c r="C74" s="7">
        <v>1140.0</v>
      </c>
      <c r="D74" s="28">
        <v>1.047547E9</v>
      </c>
      <c r="E74" s="7">
        <v>1140.0</v>
      </c>
      <c r="F74" s="8">
        <f t="shared" si="1"/>
        <v>1047548149</v>
      </c>
      <c r="G74" s="7">
        <v>1186.0</v>
      </c>
      <c r="H74" s="8">
        <f t="shared" si="2"/>
        <v>2095097439</v>
      </c>
      <c r="I74" s="29">
        <f t="shared" si="3"/>
        <v>918900.8772</v>
      </c>
      <c r="J74" s="29">
        <f t="shared" si="4"/>
        <v>918901.8855</v>
      </c>
      <c r="K74" s="29">
        <f t="shared" si="5"/>
        <v>1766523.979</v>
      </c>
      <c r="L74" s="10">
        <f t="shared" si="6"/>
        <v>3604326.741</v>
      </c>
      <c r="M74" s="10">
        <f t="shared" si="7"/>
        <v>1201442.247</v>
      </c>
    </row>
    <row r="75">
      <c r="A75" s="12" t="s">
        <v>148</v>
      </c>
      <c r="B75" s="12">
        <v>9.58</v>
      </c>
      <c r="C75" s="7">
        <v>2940.0</v>
      </c>
      <c r="D75" s="28">
        <v>1.527434332E9</v>
      </c>
      <c r="E75" s="7">
        <v>2361.0</v>
      </c>
      <c r="F75" s="8">
        <f t="shared" si="1"/>
        <v>1527437282</v>
      </c>
      <c r="G75" s="7">
        <v>1507.0</v>
      </c>
      <c r="H75" s="8">
        <f t="shared" si="2"/>
        <v>3054876924</v>
      </c>
      <c r="I75" s="29">
        <f t="shared" si="3"/>
        <v>519535.4871</v>
      </c>
      <c r="J75" s="29">
        <f t="shared" si="4"/>
        <v>646945.0578</v>
      </c>
      <c r="K75" s="29">
        <f t="shared" si="5"/>
        <v>2027124.701</v>
      </c>
      <c r="L75" s="10">
        <f t="shared" si="6"/>
        <v>3193605.246</v>
      </c>
      <c r="M75" s="10">
        <f t="shared" si="7"/>
        <v>1064535.082</v>
      </c>
    </row>
    <row r="76">
      <c r="A76" s="15" t="s">
        <v>149</v>
      </c>
      <c r="B76" s="12">
        <v>25.89</v>
      </c>
      <c r="C76" s="16">
        <v>180.0</v>
      </c>
      <c r="D76" s="28">
        <v>1.282712582E9</v>
      </c>
      <c r="E76" s="16">
        <v>179.0</v>
      </c>
      <c r="F76" s="8">
        <f t="shared" si="1"/>
        <v>1282712788</v>
      </c>
      <c r="G76" s="16">
        <v>179.0</v>
      </c>
      <c r="H76" s="8">
        <f t="shared" si="2"/>
        <v>2565425755</v>
      </c>
      <c r="I76" s="29">
        <f t="shared" si="3"/>
        <v>7126181.011</v>
      </c>
      <c r="J76" s="29">
        <f t="shared" si="4"/>
        <v>7165993.228</v>
      </c>
      <c r="K76" s="29">
        <f t="shared" si="5"/>
        <v>14331987.46</v>
      </c>
      <c r="L76" s="10">
        <f t="shared" si="6"/>
        <v>28624161.7</v>
      </c>
      <c r="M76" s="10">
        <f t="shared" si="7"/>
        <v>9541387.232</v>
      </c>
    </row>
    <row r="77">
      <c r="A77" s="12" t="s">
        <v>151</v>
      </c>
      <c r="B77" s="12">
        <v>12.09</v>
      </c>
      <c r="C77" s="7">
        <v>1868.0</v>
      </c>
      <c r="D77" s="28">
        <v>1.766270339E9</v>
      </c>
      <c r="E77" s="7">
        <v>1304.0</v>
      </c>
      <c r="F77" s="8">
        <f t="shared" si="1"/>
        <v>1766272219</v>
      </c>
      <c r="G77" s="7">
        <v>926.0</v>
      </c>
      <c r="H77" s="8">
        <f t="shared" si="2"/>
        <v>3532545742</v>
      </c>
      <c r="I77" s="29">
        <f t="shared" si="3"/>
        <v>945540.8667</v>
      </c>
      <c r="J77" s="29">
        <f t="shared" si="4"/>
        <v>1354503.235</v>
      </c>
      <c r="K77" s="29">
        <f t="shared" si="5"/>
        <v>3814844.214</v>
      </c>
      <c r="L77" s="10">
        <f t="shared" si="6"/>
        <v>6114888.316</v>
      </c>
      <c r="M77" s="10">
        <f t="shared" si="7"/>
        <v>2038296.105</v>
      </c>
    </row>
    <row r="78">
      <c r="A78" s="12" t="s">
        <v>152</v>
      </c>
      <c r="B78" s="12">
        <v>11.34</v>
      </c>
      <c r="C78" s="7">
        <v>810.0</v>
      </c>
      <c r="D78" s="28">
        <v>9.80215881E8</v>
      </c>
      <c r="E78" s="7">
        <v>885.0</v>
      </c>
      <c r="F78" s="8">
        <f t="shared" si="1"/>
        <v>980216702.3</v>
      </c>
      <c r="G78" s="7">
        <v>869.0</v>
      </c>
      <c r="H78" s="8">
        <f t="shared" si="2"/>
        <v>1960434290</v>
      </c>
      <c r="I78" s="29">
        <f t="shared" si="3"/>
        <v>1210143.063</v>
      </c>
      <c r="J78" s="29">
        <f t="shared" si="4"/>
        <v>1107589.494</v>
      </c>
      <c r="K78" s="29">
        <f t="shared" si="5"/>
        <v>2255965.811</v>
      </c>
      <c r="L78" s="10">
        <f t="shared" si="6"/>
        <v>4573698.368</v>
      </c>
      <c r="M78" s="10">
        <f t="shared" si="7"/>
        <v>1524566.123</v>
      </c>
    </row>
    <row r="79">
      <c r="A79" s="12" t="s">
        <v>154</v>
      </c>
      <c r="B79" s="12">
        <v>24.45</v>
      </c>
      <c r="C79" s="7">
        <v>170.0</v>
      </c>
      <c r="D79" s="28">
        <v>6.58020691E8</v>
      </c>
      <c r="E79" s="7">
        <v>131.0</v>
      </c>
      <c r="F79" s="8">
        <f t="shared" si="1"/>
        <v>658020885.5</v>
      </c>
      <c r="G79" s="7">
        <v>121.0</v>
      </c>
      <c r="H79" s="8">
        <f t="shared" si="2"/>
        <v>1316041902</v>
      </c>
      <c r="I79" s="29">
        <f t="shared" si="3"/>
        <v>3870709.947</v>
      </c>
      <c r="J79" s="29">
        <f t="shared" si="4"/>
        <v>5023060.194</v>
      </c>
      <c r="K79" s="29">
        <f t="shared" si="5"/>
        <v>10876379.35</v>
      </c>
      <c r="L79" s="10">
        <f t="shared" si="6"/>
        <v>19770149.5</v>
      </c>
      <c r="M79" s="10">
        <f t="shared" si="7"/>
        <v>6590049.832</v>
      </c>
    </row>
    <row r="80">
      <c r="A80" s="12" t="s">
        <v>156</v>
      </c>
      <c r="B80" s="12">
        <v>16.29</v>
      </c>
      <c r="C80" s="7">
        <v>758.0</v>
      </c>
      <c r="D80" s="28">
        <v>1.646917532E9</v>
      </c>
      <c r="E80" s="7">
        <v>625.0</v>
      </c>
      <c r="F80" s="8">
        <f t="shared" si="1"/>
        <v>1646918306</v>
      </c>
      <c r="G80" s="7">
        <v>622.0</v>
      </c>
      <c r="H80" s="8">
        <f t="shared" si="2"/>
        <v>3293837238</v>
      </c>
      <c r="I80" s="29">
        <f t="shared" si="3"/>
        <v>2172714.422</v>
      </c>
      <c r="J80" s="29">
        <f t="shared" si="4"/>
        <v>2635069.29</v>
      </c>
      <c r="K80" s="29">
        <f t="shared" si="5"/>
        <v>5295558.26</v>
      </c>
      <c r="L80" s="10">
        <f t="shared" si="6"/>
        <v>10103341.97</v>
      </c>
      <c r="M80" s="10">
        <f t="shared" si="7"/>
        <v>3367780.657</v>
      </c>
    </row>
    <row r="81">
      <c r="A81" s="12" t="s">
        <v>158</v>
      </c>
      <c r="B81" s="12">
        <v>14.38</v>
      </c>
      <c r="C81" s="16">
        <v>79.0</v>
      </c>
      <c r="D81" s="28">
        <v>2.66617053E8</v>
      </c>
      <c r="E81" s="16">
        <v>121.0</v>
      </c>
      <c r="F81" s="8">
        <f t="shared" si="1"/>
        <v>266617146.4</v>
      </c>
      <c r="G81" s="16">
        <v>190.0</v>
      </c>
      <c r="H81" s="8">
        <f t="shared" si="2"/>
        <v>533234413.8</v>
      </c>
      <c r="I81" s="29">
        <f t="shared" si="3"/>
        <v>3374899.405</v>
      </c>
      <c r="J81" s="29">
        <f t="shared" si="4"/>
        <v>2203447.491</v>
      </c>
      <c r="K81" s="29">
        <f t="shared" si="5"/>
        <v>2806496.915</v>
      </c>
      <c r="L81" s="10">
        <f t="shared" si="6"/>
        <v>8384843.81</v>
      </c>
      <c r="M81" s="10">
        <f t="shared" si="7"/>
        <v>2794947.937</v>
      </c>
    </row>
    <row r="82">
      <c r="A82" s="12" t="s">
        <v>159</v>
      </c>
      <c r="B82" s="12">
        <v>11.43</v>
      </c>
      <c r="C82" s="7">
        <v>1001.0</v>
      </c>
      <c r="D82" s="28">
        <v>1.225604567E9</v>
      </c>
      <c r="E82" s="7">
        <v>1066.0</v>
      </c>
      <c r="F82" s="8">
        <f t="shared" si="1"/>
        <v>1225605579</v>
      </c>
      <c r="G82" s="7">
        <v>1069.0</v>
      </c>
      <c r="H82" s="8">
        <f t="shared" si="2"/>
        <v>2451212225</v>
      </c>
      <c r="I82" s="29">
        <f t="shared" si="3"/>
        <v>1224380.187</v>
      </c>
      <c r="J82" s="29">
        <f t="shared" si="4"/>
        <v>1149723.808</v>
      </c>
      <c r="K82" s="29">
        <f t="shared" si="5"/>
        <v>2292995.533</v>
      </c>
      <c r="L82" s="10">
        <f t="shared" si="6"/>
        <v>4667099.528</v>
      </c>
      <c r="M82" s="10">
        <f t="shared" si="7"/>
        <v>1555699.843</v>
      </c>
    </row>
    <row r="83">
      <c r="A83" s="12" t="s">
        <v>160</v>
      </c>
      <c r="B83" s="12">
        <v>10.97</v>
      </c>
      <c r="C83" s="7">
        <v>455.0</v>
      </c>
      <c r="D83" s="28">
        <v>7.43651037E8</v>
      </c>
      <c r="E83" s="7">
        <v>380.0</v>
      </c>
      <c r="F83" s="8">
        <f t="shared" si="1"/>
        <v>743651503</v>
      </c>
      <c r="G83" s="7">
        <v>476.0</v>
      </c>
      <c r="H83" s="8">
        <f t="shared" si="2"/>
        <v>1487303386</v>
      </c>
      <c r="I83" s="29">
        <f t="shared" si="3"/>
        <v>1634397.884</v>
      </c>
      <c r="J83" s="29">
        <f t="shared" si="4"/>
        <v>1956977.639</v>
      </c>
      <c r="K83" s="29">
        <f t="shared" si="5"/>
        <v>3124586.945</v>
      </c>
      <c r="L83" s="10">
        <f t="shared" si="6"/>
        <v>6715962.468</v>
      </c>
      <c r="M83" s="10">
        <f t="shared" si="7"/>
        <v>2238654.156</v>
      </c>
    </row>
    <row r="84">
      <c r="A84" s="15" t="s">
        <v>161</v>
      </c>
      <c r="B84" s="12">
        <v>19.88</v>
      </c>
      <c r="C84" s="7">
        <v>160.0</v>
      </c>
      <c r="D84" s="28">
        <v>6.55647304E8</v>
      </c>
      <c r="E84" s="7">
        <v>127.0</v>
      </c>
      <c r="F84" s="8">
        <f t="shared" si="1"/>
        <v>655647483.9</v>
      </c>
      <c r="G84" s="7">
        <v>117.0</v>
      </c>
      <c r="H84" s="8">
        <f t="shared" si="2"/>
        <v>1311295095</v>
      </c>
      <c r="I84" s="29">
        <f t="shared" si="3"/>
        <v>4097795.65</v>
      </c>
      <c r="J84" s="29">
        <f t="shared" si="4"/>
        <v>5162578.613</v>
      </c>
      <c r="K84" s="29">
        <f t="shared" si="5"/>
        <v>11207650.38</v>
      </c>
      <c r="L84" s="10">
        <f t="shared" si="6"/>
        <v>20468024.65</v>
      </c>
      <c r="M84" s="10">
        <f t="shared" si="7"/>
        <v>6822674.882</v>
      </c>
    </row>
    <row r="85">
      <c r="A85" s="12" t="s">
        <v>163</v>
      </c>
      <c r="B85" s="12">
        <v>20.26</v>
      </c>
      <c r="C85" s="7">
        <v>182.0</v>
      </c>
      <c r="D85" s="28">
        <v>6.5056281E8</v>
      </c>
      <c r="E85" s="7">
        <v>128.0</v>
      </c>
      <c r="F85" s="8">
        <f t="shared" si="1"/>
        <v>650563012.3</v>
      </c>
      <c r="G85" s="7">
        <v>111.0</v>
      </c>
      <c r="H85" s="8">
        <f t="shared" si="2"/>
        <v>1301126153</v>
      </c>
      <c r="I85" s="29">
        <f t="shared" si="3"/>
        <v>3574520.934</v>
      </c>
      <c r="J85" s="29">
        <f t="shared" si="4"/>
        <v>5082523.533</v>
      </c>
      <c r="K85" s="29">
        <f t="shared" si="5"/>
        <v>11721857.23</v>
      </c>
      <c r="L85" s="10">
        <f t="shared" si="6"/>
        <v>20378901.7</v>
      </c>
      <c r="M85" s="10">
        <f t="shared" si="7"/>
        <v>6792967.232</v>
      </c>
    </row>
    <row r="86">
      <c r="A86" s="15" t="s">
        <v>165</v>
      </c>
      <c r="B86" s="12">
        <v>22.29</v>
      </c>
      <c r="C86" s="7">
        <v>257.0</v>
      </c>
      <c r="D86" s="28">
        <v>9.75380318E8</v>
      </c>
      <c r="E86" s="7">
        <v>211.0</v>
      </c>
      <c r="F86" s="8">
        <f t="shared" si="1"/>
        <v>975380597.3</v>
      </c>
      <c r="G86" s="7">
        <v>173.0</v>
      </c>
      <c r="H86" s="8">
        <f t="shared" si="2"/>
        <v>1950761406</v>
      </c>
      <c r="I86" s="29">
        <f t="shared" si="3"/>
        <v>3795254.156</v>
      </c>
      <c r="J86" s="29">
        <f t="shared" si="4"/>
        <v>4622656.859</v>
      </c>
      <c r="K86" s="29">
        <f t="shared" si="5"/>
        <v>11276077.49</v>
      </c>
      <c r="L86" s="10">
        <f t="shared" si="6"/>
        <v>19693988.5</v>
      </c>
      <c r="M86" s="10">
        <f t="shared" si="7"/>
        <v>6564662.835</v>
      </c>
    </row>
    <row r="87">
      <c r="A87" s="12" t="s">
        <v>167</v>
      </c>
      <c r="B87" s="12">
        <v>7.21</v>
      </c>
      <c r="C87" s="7">
        <v>1602.0</v>
      </c>
      <c r="D87" s="28">
        <v>9.46033398E8</v>
      </c>
      <c r="E87" s="7">
        <v>1715.0</v>
      </c>
      <c r="F87" s="8">
        <f t="shared" si="1"/>
        <v>946035007.2</v>
      </c>
      <c r="G87" s="7">
        <v>1654.0</v>
      </c>
      <c r="H87" s="8">
        <f t="shared" si="2"/>
        <v>1892071729</v>
      </c>
      <c r="I87" s="29">
        <f t="shared" si="3"/>
        <v>590532.7079</v>
      </c>
      <c r="J87" s="29">
        <f t="shared" si="4"/>
        <v>551623.9109</v>
      </c>
      <c r="K87" s="29">
        <f t="shared" si="5"/>
        <v>1143936.959</v>
      </c>
      <c r="L87" s="10">
        <f t="shared" si="6"/>
        <v>2286093.577</v>
      </c>
      <c r="M87" s="10">
        <f t="shared" si="7"/>
        <v>762031.1924</v>
      </c>
    </row>
    <row r="88">
      <c r="A88" s="12" t="s">
        <v>169</v>
      </c>
      <c r="B88" s="12">
        <v>13.33</v>
      </c>
      <c r="C88" s="7">
        <v>1012.0</v>
      </c>
      <c r="D88" s="28">
        <v>1.478096946E9</v>
      </c>
      <c r="E88" s="7">
        <v>936.0</v>
      </c>
      <c r="F88" s="8">
        <f t="shared" si="1"/>
        <v>1478097971</v>
      </c>
      <c r="G88" s="7">
        <v>835.0</v>
      </c>
      <c r="H88" s="8">
        <f t="shared" si="2"/>
        <v>2956196879</v>
      </c>
      <c r="I88" s="29">
        <f t="shared" si="3"/>
        <v>1460570.105</v>
      </c>
      <c r="J88" s="29">
        <f t="shared" si="4"/>
        <v>1579164.499</v>
      </c>
      <c r="K88" s="29">
        <f t="shared" si="5"/>
        <v>3540355.543</v>
      </c>
      <c r="L88" s="10">
        <f t="shared" si="6"/>
        <v>6580090.147</v>
      </c>
      <c r="M88" s="10">
        <f t="shared" si="7"/>
        <v>2193363.382</v>
      </c>
    </row>
    <row r="89">
      <c r="A89" s="15" t="s">
        <v>171</v>
      </c>
      <c r="B89" s="12">
        <v>14.68</v>
      </c>
      <c r="C89" s="7">
        <v>751.0</v>
      </c>
      <c r="D89" s="28">
        <v>1.380586038E9</v>
      </c>
      <c r="E89" s="7">
        <v>676.0</v>
      </c>
      <c r="F89" s="8">
        <f t="shared" si="1"/>
        <v>1380586804</v>
      </c>
      <c r="G89" s="7">
        <v>653.0</v>
      </c>
      <c r="H89" s="8">
        <f t="shared" si="2"/>
        <v>2761174283</v>
      </c>
      <c r="I89" s="29">
        <f t="shared" si="3"/>
        <v>1838330.277</v>
      </c>
      <c r="J89" s="29">
        <f t="shared" si="4"/>
        <v>2042288.171</v>
      </c>
      <c r="K89" s="29">
        <f t="shared" si="5"/>
        <v>4228444.538</v>
      </c>
      <c r="L89" s="10">
        <f t="shared" si="6"/>
        <v>8109062.986</v>
      </c>
      <c r="M89" s="10">
        <f t="shared" si="7"/>
        <v>2703020.995</v>
      </c>
    </row>
    <row r="90">
      <c r="A90" s="15" t="s">
        <v>173</v>
      </c>
      <c r="B90" s="12">
        <v>17.72</v>
      </c>
      <c r="C90" s="7">
        <v>148.0</v>
      </c>
      <c r="D90" s="28">
        <v>3.74219931E8</v>
      </c>
      <c r="E90" s="7">
        <v>154.0</v>
      </c>
      <c r="F90" s="8">
        <f t="shared" si="1"/>
        <v>374220096.7</v>
      </c>
      <c r="G90" s="7">
        <v>152.0</v>
      </c>
      <c r="H90" s="8">
        <f t="shared" si="2"/>
        <v>748440347.4</v>
      </c>
      <c r="I90" s="29">
        <f t="shared" si="3"/>
        <v>2528513.047</v>
      </c>
      <c r="J90" s="29">
        <f t="shared" si="4"/>
        <v>2430000.628</v>
      </c>
      <c r="K90" s="29">
        <f t="shared" si="5"/>
        <v>4923949.654</v>
      </c>
      <c r="L90" s="10">
        <f t="shared" si="6"/>
        <v>9882463.33</v>
      </c>
      <c r="M90" s="10">
        <f t="shared" si="7"/>
        <v>3294154.443</v>
      </c>
    </row>
    <row r="91">
      <c r="A91" s="15" t="s">
        <v>175</v>
      </c>
      <c r="B91" s="12">
        <v>9.56</v>
      </c>
      <c r="C91" s="7">
        <v>1015.0</v>
      </c>
      <c r="D91" s="28">
        <v>1.022509659E9</v>
      </c>
      <c r="E91" s="7">
        <v>1084.0</v>
      </c>
      <c r="F91" s="8">
        <f t="shared" si="1"/>
        <v>1022510684</v>
      </c>
      <c r="G91" s="7">
        <v>865.0</v>
      </c>
      <c r="H91" s="8">
        <f t="shared" si="2"/>
        <v>2045022451</v>
      </c>
      <c r="I91" s="29">
        <f t="shared" si="3"/>
        <v>1007398.679</v>
      </c>
      <c r="J91" s="29">
        <f t="shared" si="4"/>
        <v>943275.5383</v>
      </c>
      <c r="K91" s="29">
        <f t="shared" si="5"/>
        <v>2364187.805</v>
      </c>
      <c r="L91" s="10">
        <f t="shared" si="6"/>
        <v>4314862.022</v>
      </c>
      <c r="M91" s="10">
        <f t="shared" si="7"/>
        <v>1438287.341</v>
      </c>
    </row>
    <row r="92">
      <c r="A92" s="15" t="s">
        <v>176</v>
      </c>
      <c r="B92" s="12">
        <v>13.49</v>
      </c>
      <c r="C92" s="7">
        <v>1155.0</v>
      </c>
      <c r="D92" s="28">
        <v>1.553656E9</v>
      </c>
      <c r="E92" s="7">
        <v>959.0</v>
      </c>
      <c r="F92" s="8">
        <f t="shared" si="1"/>
        <v>1553657168</v>
      </c>
      <c r="G92" s="7">
        <v>841.0</v>
      </c>
      <c r="H92" s="8">
        <f t="shared" si="2"/>
        <v>3107315296</v>
      </c>
      <c r="I92" s="29">
        <f t="shared" si="3"/>
        <v>1345156.71</v>
      </c>
      <c r="J92" s="29">
        <f t="shared" si="4"/>
        <v>1620080.468</v>
      </c>
      <c r="K92" s="29">
        <f t="shared" si="5"/>
        <v>3694786.321</v>
      </c>
      <c r="L92" s="10">
        <f t="shared" si="6"/>
        <v>6660023.499</v>
      </c>
      <c r="M92" s="10">
        <f t="shared" si="7"/>
        <v>2220007.833</v>
      </c>
    </row>
    <row r="93">
      <c r="A93" s="15" t="s">
        <v>178</v>
      </c>
      <c r="B93" s="12">
        <v>11.47</v>
      </c>
      <c r="C93" s="7">
        <v>1086.0</v>
      </c>
      <c r="D93" s="28">
        <v>1.186102128E9</v>
      </c>
      <c r="E93" s="7">
        <v>996.0</v>
      </c>
      <c r="F93" s="8">
        <f t="shared" si="1"/>
        <v>1186103225</v>
      </c>
      <c r="G93" s="7">
        <v>903.0</v>
      </c>
      <c r="H93" s="8">
        <f t="shared" si="2"/>
        <v>2372207447</v>
      </c>
      <c r="I93" s="29">
        <f t="shared" si="3"/>
        <v>1092175.072</v>
      </c>
      <c r="J93" s="29">
        <f t="shared" si="4"/>
        <v>1190866.692</v>
      </c>
      <c r="K93" s="29">
        <f t="shared" si="5"/>
        <v>2627029.288</v>
      </c>
      <c r="L93" s="10">
        <f t="shared" si="6"/>
        <v>4910071.052</v>
      </c>
      <c r="M93" s="10">
        <f t="shared" si="7"/>
        <v>1636690.351</v>
      </c>
    </row>
    <row r="94">
      <c r="A94" s="15" t="s">
        <v>180</v>
      </c>
      <c r="B94" s="12">
        <v>6.6</v>
      </c>
      <c r="C94" s="7">
        <v>1701.0</v>
      </c>
      <c r="D94" s="28">
        <v>1.253089767E9</v>
      </c>
      <c r="E94" s="7">
        <v>2347.0</v>
      </c>
      <c r="F94" s="8">
        <f t="shared" si="1"/>
        <v>1253091475</v>
      </c>
      <c r="G94" s="7">
        <v>2016.0</v>
      </c>
      <c r="H94" s="8">
        <f t="shared" si="2"/>
        <v>2506185296</v>
      </c>
      <c r="I94" s="29">
        <f t="shared" si="3"/>
        <v>736678.2875</v>
      </c>
      <c r="J94" s="29">
        <f t="shared" si="4"/>
        <v>533912.0045</v>
      </c>
      <c r="K94" s="29">
        <f t="shared" si="5"/>
        <v>1243147.468</v>
      </c>
      <c r="L94" s="10">
        <f t="shared" si="6"/>
        <v>2513737.76</v>
      </c>
      <c r="M94" s="10">
        <f t="shared" si="7"/>
        <v>837912.5868</v>
      </c>
    </row>
    <row r="95">
      <c r="A95" s="15" t="s">
        <v>181</v>
      </c>
      <c r="B95" s="12">
        <v>19.84</v>
      </c>
      <c r="C95" s="7">
        <v>530.0</v>
      </c>
      <c r="D95" s="28">
        <v>1.561313435E9</v>
      </c>
      <c r="E95" s="7">
        <v>530.0</v>
      </c>
      <c r="F95" s="8">
        <f t="shared" si="1"/>
        <v>1561313985</v>
      </c>
      <c r="G95" s="7">
        <v>360.0</v>
      </c>
      <c r="H95" s="8">
        <f t="shared" si="2"/>
        <v>3122628500</v>
      </c>
      <c r="I95" s="29">
        <f t="shared" si="3"/>
        <v>2945874.406</v>
      </c>
      <c r="J95" s="29">
        <f t="shared" si="4"/>
        <v>2945875.443</v>
      </c>
      <c r="K95" s="29">
        <f t="shared" si="5"/>
        <v>8673968.055</v>
      </c>
      <c r="L95" s="10">
        <f t="shared" si="6"/>
        <v>14565717.9</v>
      </c>
      <c r="M95" s="10">
        <f t="shared" si="7"/>
        <v>4855239.301</v>
      </c>
    </row>
    <row r="96">
      <c r="A96" s="15" t="s">
        <v>183</v>
      </c>
      <c r="B96" s="12">
        <v>10.67</v>
      </c>
      <c r="C96" s="7">
        <v>2040.0</v>
      </c>
      <c r="D96" s="28">
        <v>2.035304149E9</v>
      </c>
      <c r="E96" s="7">
        <v>1470.0</v>
      </c>
      <c r="F96" s="8">
        <f t="shared" si="1"/>
        <v>2035306200</v>
      </c>
      <c r="G96" s="7">
        <v>1121.0</v>
      </c>
      <c r="H96" s="8">
        <f t="shared" si="2"/>
        <v>4070613869</v>
      </c>
      <c r="I96" s="29">
        <f t="shared" si="3"/>
        <v>997698.1123</v>
      </c>
      <c r="J96" s="29">
        <f t="shared" si="4"/>
        <v>1384562.041</v>
      </c>
      <c r="K96" s="29">
        <f t="shared" si="5"/>
        <v>3631234.495</v>
      </c>
      <c r="L96" s="10">
        <f t="shared" si="6"/>
        <v>6013494.648</v>
      </c>
      <c r="M96" s="10">
        <f t="shared" si="7"/>
        <v>2004498.216</v>
      </c>
    </row>
    <row r="97">
      <c r="A97" s="15" t="s">
        <v>185</v>
      </c>
      <c r="B97" s="12">
        <v>17.88</v>
      </c>
      <c r="C97" s="7">
        <v>715.0</v>
      </c>
      <c r="D97" s="28">
        <v>1.436811521E9</v>
      </c>
      <c r="E97" s="7">
        <v>758.0</v>
      </c>
      <c r="F97" s="8">
        <f t="shared" si="1"/>
        <v>1436812254</v>
      </c>
      <c r="G97" s="7">
        <v>676.0</v>
      </c>
      <c r="H97" s="8">
        <f t="shared" si="2"/>
        <v>2873625266</v>
      </c>
      <c r="I97" s="29">
        <f t="shared" si="3"/>
        <v>2009526.603</v>
      </c>
      <c r="J97" s="29">
        <f t="shared" si="4"/>
        <v>1895530.678</v>
      </c>
      <c r="K97" s="29">
        <f t="shared" si="5"/>
        <v>4250924.949</v>
      </c>
      <c r="L97" s="10">
        <f t="shared" si="6"/>
        <v>8155982.23</v>
      </c>
      <c r="M97" s="10">
        <f t="shared" si="7"/>
        <v>2718660.743</v>
      </c>
    </row>
    <row r="98">
      <c r="A98" s="15" t="s">
        <v>186</v>
      </c>
      <c r="B98" s="12">
        <v>8.87</v>
      </c>
      <c r="C98" s="7">
        <v>1080.0</v>
      </c>
      <c r="D98" s="28">
        <v>8.10028503E8</v>
      </c>
      <c r="E98" s="7">
        <v>720.0</v>
      </c>
      <c r="F98" s="8">
        <f t="shared" si="1"/>
        <v>810029591.9</v>
      </c>
      <c r="G98" s="7">
        <v>719.0</v>
      </c>
      <c r="H98" s="8">
        <f t="shared" si="2"/>
        <v>1620059904</v>
      </c>
      <c r="I98" s="29">
        <f t="shared" si="3"/>
        <v>750026.3917</v>
      </c>
      <c r="J98" s="29">
        <f t="shared" si="4"/>
        <v>1125041.1</v>
      </c>
      <c r="K98" s="29">
        <f t="shared" si="5"/>
        <v>2253212.662</v>
      </c>
      <c r="L98" s="10">
        <f t="shared" si="6"/>
        <v>4128280.153</v>
      </c>
      <c r="M98" s="10">
        <f t="shared" si="7"/>
        <v>1376093.384</v>
      </c>
    </row>
    <row r="99">
      <c r="A99" s="15" t="s">
        <v>187</v>
      </c>
      <c r="B99" s="12">
        <v>20.97</v>
      </c>
      <c r="C99" s="16">
        <v>220.0</v>
      </c>
      <c r="D99" s="28">
        <v>4.91611236E8</v>
      </c>
      <c r="E99" s="16">
        <v>297.0</v>
      </c>
      <c r="F99" s="8">
        <f t="shared" si="1"/>
        <v>491611477</v>
      </c>
      <c r="G99" s="16">
        <v>228.0</v>
      </c>
      <c r="H99" s="8">
        <f t="shared" si="2"/>
        <v>983223250.9</v>
      </c>
      <c r="I99" s="29">
        <f t="shared" si="3"/>
        <v>2234596.527</v>
      </c>
      <c r="J99" s="29">
        <f t="shared" si="4"/>
        <v>1655257.498</v>
      </c>
      <c r="K99" s="29">
        <f t="shared" si="5"/>
        <v>4312382.68</v>
      </c>
      <c r="L99" s="10">
        <f t="shared" si="6"/>
        <v>8202236.705</v>
      </c>
      <c r="M99" s="10">
        <f t="shared" si="7"/>
        <v>2734078.902</v>
      </c>
    </row>
    <row r="100">
      <c r="A100" s="15" t="s">
        <v>188</v>
      </c>
      <c r="B100" s="12">
        <v>8.36</v>
      </c>
      <c r="C100" s="7">
        <v>758.0</v>
      </c>
      <c r="D100" s="28">
        <v>5.55673544E8</v>
      </c>
      <c r="E100" s="7">
        <v>713.0</v>
      </c>
      <c r="F100" s="8">
        <f t="shared" si="1"/>
        <v>555674310.4</v>
      </c>
      <c r="G100" s="7">
        <v>700.0</v>
      </c>
      <c r="H100" s="8">
        <f t="shared" si="2"/>
        <v>1111349334</v>
      </c>
      <c r="I100" s="29">
        <f t="shared" si="3"/>
        <v>733078.5541</v>
      </c>
      <c r="J100" s="29">
        <f t="shared" si="4"/>
        <v>779346.8588</v>
      </c>
      <c r="K100" s="29">
        <f t="shared" si="5"/>
        <v>1587641.905</v>
      </c>
      <c r="L100" s="10">
        <f t="shared" si="6"/>
        <v>3100067.318</v>
      </c>
      <c r="M100" s="10">
        <f t="shared" si="7"/>
        <v>1033355.773</v>
      </c>
    </row>
    <row r="101">
      <c r="A101" s="15" t="s">
        <v>190</v>
      </c>
      <c r="B101" s="12">
        <v>14.14</v>
      </c>
      <c r="C101" s="7">
        <v>1307.0</v>
      </c>
      <c r="D101" s="28">
        <v>2.500734953E9</v>
      </c>
      <c r="E101" s="7">
        <v>1244.0</v>
      </c>
      <c r="F101" s="8">
        <f t="shared" si="1"/>
        <v>2500736274</v>
      </c>
      <c r="G101" s="7">
        <v>1244.0</v>
      </c>
      <c r="H101" s="8">
        <f t="shared" si="2"/>
        <v>5001473792</v>
      </c>
      <c r="I101" s="29">
        <f t="shared" si="3"/>
        <v>1913339.673</v>
      </c>
      <c r="J101" s="29">
        <f t="shared" si="4"/>
        <v>2010238.162</v>
      </c>
      <c r="K101" s="29">
        <f t="shared" si="5"/>
        <v>4020477.325</v>
      </c>
      <c r="L101" s="10">
        <f t="shared" si="6"/>
        <v>7944055.161</v>
      </c>
      <c r="M101" s="10">
        <f t="shared" si="7"/>
        <v>2648018.387</v>
      </c>
    </row>
    <row r="102">
      <c r="A102" s="15" t="s">
        <v>191</v>
      </c>
      <c r="B102" s="12">
        <v>13.65</v>
      </c>
      <c r="C102" s="7">
        <v>1037.0</v>
      </c>
      <c r="D102" s="28">
        <v>1.191467037E9</v>
      </c>
      <c r="E102" s="7">
        <v>817.0</v>
      </c>
      <c r="F102" s="8">
        <f t="shared" si="1"/>
        <v>1191468088</v>
      </c>
      <c r="G102" s="7">
        <v>950.0</v>
      </c>
      <c r="H102" s="8">
        <f t="shared" si="2"/>
        <v>2382936992</v>
      </c>
      <c r="I102" s="29">
        <f t="shared" si="3"/>
        <v>1148955.677</v>
      </c>
      <c r="J102" s="29">
        <f t="shared" si="4"/>
        <v>1458345.273</v>
      </c>
      <c r="K102" s="29">
        <f t="shared" si="5"/>
        <v>2508354.729</v>
      </c>
      <c r="L102" s="10">
        <f t="shared" si="6"/>
        <v>5115655.678</v>
      </c>
      <c r="M102" s="10">
        <f t="shared" si="7"/>
        <v>1705218.559</v>
      </c>
    </row>
    <row r="103">
      <c r="A103" s="15" t="s">
        <v>192</v>
      </c>
      <c r="B103" s="12">
        <v>15.19</v>
      </c>
      <c r="C103" s="7">
        <v>74.0</v>
      </c>
      <c r="D103" s="28">
        <v>4.51100292E8</v>
      </c>
      <c r="E103" s="7">
        <v>75.0</v>
      </c>
      <c r="F103" s="8">
        <f t="shared" si="1"/>
        <v>451100381.2</v>
      </c>
      <c r="G103" s="7">
        <v>65.0</v>
      </c>
      <c r="H103" s="8">
        <f t="shared" si="2"/>
        <v>902200837.4</v>
      </c>
      <c r="I103" s="29">
        <f t="shared" si="3"/>
        <v>6095949.892</v>
      </c>
      <c r="J103" s="29">
        <f t="shared" si="4"/>
        <v>6014671.749</v>
      </c>
      <c r="K103" s="29">
        <f t="shared" si="5"/>
        <v>13880012.88</v>
      </c>
      <c r="L103" s="10">
        <f t="shared" si="6"/>
        <v>25990634.52</v>
      </c>
      <c r="M103" s="10">
        <f t="shared" si="7"/>
        <v>8663544.841</v>
      </c>
    </row>
    <row r="104">
      <c r="A104" s="15" t="s">
        <v>194</v>
      </c>
      <c r="B104" s="12">
        <v>11.67</v>
      </c>
      <c r="C104" s="7">
        <v>825.0</v>
      </c>
      <c r="D104" s="28">
        <v>1.014826506E9</v>
      </c>
      <c r="E104" s="7">
        <v>699.0</v>
      </c>
      <c r="F104" s="8">
        <f t="shared" si="1"/>
        <v>1014827343</v>
      </c>
      <c r="G104" s="7">
        <v>571.0</v>
      </c>
      <c r="H104" s="8">
        <f t="shared" si="2"/>
        <v>2029655384</v>
      </c>
      <c r="I104" s="29">
        <f t="shared" si="3"/>
        <v>1230092.735</v>
      </c>
      <c r="J104" s="29">
        <f t="shared" si="4"/>
        <v>1451827.386</v>
      </c>
      <c r="K104" s="29">
        <f t="shared" si="5"/>
        <v>3554562.845</v>
      </c>
      <c r="L104" s="10">
        <f t="shared" si="6"/>
        <v>6236482.965</v>
      </c>
      <c r="M104" s="10">
        <f t="shared" si="7"/>
        <v>2078827.655</v>
      </c>
    </row>
    <row r="105">
      <c r="A105" s="15" t="s">
        <v>196</v>
      </c>
      <c r="B105" s="12">
        <v>12.47</v>
      </c>
      <c r="C105" s="7">
        <v>1153.0</v>
      </c>
      <c r="D105" s="28">
        <v>1.141735824E9</v>
      </c>
      <c r="E105" s="7">
        <v>869.0</v>
      </c>
      <c r="F105" s="8">
        <f t="shared" si="1"/>
        <v>1141736989</v>
      </c>
      <c r="G105" s="7">
        <v>810.0</v>
      </c>
      <c r="H105" s="8">
        <f t="shared" si="2"/>
        <v>2283474848</v>
      </c>
      <c r="I105" s="29">
        <f t="shared" si="3"/>
        <v>990230.5499</v>
      </c>
      <c r="J105" s="29">
        <f t="shared" si="4"/>
        <v>1313851.541</v>
      </c>
      <c r="K105" s="29">
        <f t="shared" si="5"/>
        <v>2819104.751</v>
      </c>
      <c r="L105" s="10">
        <f t="shared" si="6"/>
        <v>5123186.842</v>
      </c>
      <c r="M105" s="10">
        <f t="shared" si="7"/>
        <v>1707728.947</v>
      </c>
    </row>
    <row r="106">
      <c r="A106" s="15" t="s">
        <v>198</v>
      </c>
      <c r="B106" s="12">
        <v>14.3</v>
      </c>
      <c r="C106" s="7">
        <v>232.0</v>
      </c>
      <c r="D106" s="28">
        <v>3.15848211E8</v>
      </c>
      <c r="E106" s="7">
        <v>243.0</v>
      </c>
      <c r="F106" s="8">
        <f t="shared" si="1"/>
        <v>315848457.3</v>
      </c>
      <c r="G106" s="7">
        <v>253.0</v>
      </c>
      <c r="H106" s="8">
        <f t="shared" si="2"/>
        <v>631697157.6</v>
      </c>
      <c r="I106" s="29">
        <f t="shared" si="3"/>
        <v>1361414.703</v>
      </c>
      <c r="J106" s="29">
        <f t="shared" si="4"/>
        <v>1299787.89</v>
      </c>
      <c r="K106" s="29">
        <f t="shared" si="5"/>
        <v>2496826.71</v>
      </c>
      <c r="L106" s="10">
        <f t="shared" si="6"/>
        <v>5158029.303</v>
      </c>
      <c r="M106" s="10">
        <f t="shared" si="7"/>
        <v>1719343.101</v>
      </c>
    </row>
    <row r="107">
      <c r="A107" s="15" t="s">
        <v>200</v>
      </c>
      <c r="B107" s="12">
        <v>12.79</v>
      </c>
      <c r="C107" s="7">
        <v>1045.0</v>
      </c>
      <c r="D107" s="28">
        <v>1.258687271E9</v>
      </c>
      <c r="E107" s="7">
        <v>1083.0</v>
      </c>
      <c r="F107" s="8">
        <f t="shared" si="1"/>
        <v>1258688329</v>
      </c>
      <c r="G107" s="17">
        <v>1041.0</v>
      </c>
      <c r="H107" s="8">
        <f t="shared" si="2"/>
        <v>2517377741</v>
      </c>
      <c r="I107" s="29">
        <f t="shared" si="3"/>
        <v>1204485.427</v>
      </c>
      <c r="J107" s="29">
        <f t="shared" si="4"/>
        <v>1162223.757</v>
      </c>
      <c r="K107" s="29">
        <f t="shared" si="5"/>
        <v>2418230.298</v>
      </c>
      <c r="L107" s="10">
        <f t="shared" si="6"/>
        <v>4784939.482</v>
      </c>
      <c r="M107" s="10">
        <f t="shared" si="7"/>
        <v>1594979.827</v>
      </c>
    </row>
  </sheetData>
  <autoFilter ref="$A$7:$M$107"/>
  <drawing r:id="rId1"/>
</worksheet>
</file>